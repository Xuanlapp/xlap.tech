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2"/>
  <workbookPr/>
  <mc:AlternateContent xmlns:mc="http://schemas.openxmlformats.org/markup-compatibility/2006">
    <mc:Choice Requires="x15">
      <x15ac:absPath xmlns:x15ac="http://schemas.microsoft.com/office/spreadsheetml/2010/11/ac" url="\\public.playoff.com\public\Dept-Editorial\Assets for Assembly\BASKETBALL stats and callouts\Basketball\"/>
    </mc:Choice>
  </mc:AlternateContent>
  <xr:revisionPtr revIDLastSave="0" documentId="8_{EAD26113-5BA8-42E0-AF21-804762EFD0DA}" xr6:coauthVersionLast="47" xr6:coauthVersionMax="47" xr10:uidLastSave="{00000000-0000-0000-0000-000000000000}"/>
  <bookViews>
    <workbookView xWindow="11415" yWindow="1275" windowWidth="14940" windowHeight="10650" tabRatio="796" firstSheet="14" activeTab="14" xr2:uid="{00000000-000D-0000-FFFF-FFFF00000000}"/>
  </bookViews>
  <sheets>
    <sheet name="Atlanta" sheetId="1" r:id="rId1"/>
    <sheet name="Chicago" sheetId="2" r:id="rId2"/>
    <sheet name="Connecticut" sheetId="3" r:id="rId3"/>
    <sheet name="Dallas" sheetId="4" r:id="rId4"/>
    <sheet name="Golden State" sheetId="17" r:id="rId5"/>
    <sheet name="Indiana" sheetId="5" r:id="rId6"/>
    <sheet name="Las Vegas" sheetId="6" r:id="rId7"/>
    <sheet name="Los Angeles" sheetId="7" r:id="rId8"/>
    <sheet name="Minnesota" sheetId="8" r:id="rId9"/>
    <sheet name="New York" sheetId="9" r:id="rId10"/>
    <sheet name="Phoenix" sheetId="10" r:id="rId11"/>
    <sheet name="Seattle" sheetId="11" r:id="rId12"/>
    <sheet name="Washington" sheetId="12" r:id="rId13"/>
    <sheet name="Retired" sheetId="13" r:id="rId14"/>
    <sheet name="Rookies" sheetId="14" r:id="rId15"/>
    <sheet name="New Teams" sheetId="1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1" i="14" l="1"/>
  <c r="M320" i="14"/>
  <c r="M110" i="5"/>
  <c r="M111" i="5"/>
  <c r="M316" i="14"/>
  <c r="M315" i="14"/>
  <c r="M65" i="3"/>
  <c r="M66" i="3"/>
  <c r="M311" i="14"/>
  <c r="M310" i="14"/>
  <c r="M155" i="13"/>
  <c r="M306" i="14"/>
  <c r="M305" i="14"/>
  <c r="M301" i="14"/>
  <c r="M300" i="14"/>
  <c r="M296" i="14"/>
  <c r="M295" i="14"/>
  <c r="M291" i="14"/>
  <c r="M290" i="14"/>
  <c r="M286" i="14"/>
  <c r="M285" i="14"/>
  <c r="M281" i="14"/>
  <c r="M280" i="14"/>
  <c r="M276" i="14"/>
  <c r="M275" i="14"/>
  <c r="M271" i="14"/>
  <c r="M270" i="14"/>
  <c r="M266" i="14"/>
  <c r="M265" i="14"/>
  <c r="M260" i="14"/>
  <c r="M259" i="14"/>
  <c r="M255" i="14"/>
  <c r="M254" i="14"/>
  <c r="M250" i="14"/>
  <c r="M249" i="14"/>
  <c r="M244" i="14"/>
  <c r="M243" i="14"/>
  <c r="M239" i="14"/>
  <c r="M238" i="14"/>
  <c r="M234" i="14"/>
  <c r="M233" i="14"/>
  <c r="M229" i="14"/>
  <c r="M228" i="14"/>
  <c r="M31" i="17"/>
  <c r="M30" i="17"/>
  <c r="M100" i="6"/>
  <c r="M101" i="6"/>
  <c r="M26" i="17"/>
  <c r="M25" i="17"/>
  <c r="M21" i="17"/>
  <c r="M20" i="17"/>
  <c r="M16" i="17"/>
  <c r="M15" i="17"/>
  <c r="M11" i="17"/>
  <c r="M10" i="17"/>
  <c r="M6" i="17"/>
  <c r="M5" i="17"/>
  <c r="M55" i="3"/>
  <c r="M56" i="3"/>
  <c r="M81" i="4"/>
  <c r="M80" i="4"/>
  <c r="M120" i="1" l="1"/>
  <c r="M121" i="1"/>
  <c r="M100" i="8"/>
  <c r="M101" i="8"/>
  <c r="M76" i="10"/>
  <c r="M75" i="10"/>
  <c r="M95" i="8"/>
  <c r="M96" i="8"/>
  <c r="M90" i="8"/>
  <c r="M91" i="8"/>
  <c r="M96" i="9"/>
  <c r="M95" i="9"/>
  <c r="M217" i="14"/>
  <c r="M216" i="14"/>
  <c r="M106" i="4"/>
  <c r="M105" i="4"/>
  <c r="M223" i="14"/>
  <c r="M222" i="14"/>
  <c r="M100" i="2"/>
  <c r="M101" i="2"/>
  <c r="M100" i="7"/>
  <c r="M101" i="7"/>
  <c r="M105" i="5"/>
  <c r="M106" i="5"/>
  <c r="M101" i="4"/>
  <c r="M100" i="4"/>
  <c r="M16" i="3"/>
  <c r="M26" i="10"/>
  <c r="M15" i="2"/>
  <c r="M16" i="2"/>
  <c r="M70" i="10"/>
  <c r="M71" i="10"/>
  <c r="M95" i="2"/>
  <c r="M96" i="2"/>
  <c r="M91" i="9"/>
  <c r="M90" i="9"/>
  <c r="M86" i="8"/>
  <c r="M85" i="8"/>
  <c r="M91" i="2"/>
  <c r="M90" i="2"/>
  <c r="M85" i="9"/>
  <c r="M86" i="9"/>
  <c r="M81" i="8"/>
  <c r="M80" i="8"/>
  <c r="M96" i="12"/>
  <c r="M95" i="12"/>
  <c r="M91" i="12"/>
  <c r="M90" i="12"/>
  <c r="M85" i="2"/>
  <c r="M86" i="2"/>
  <c r="M95" i="7"/>
  <c r="M96" i="7"/>
  <c r="M95" i="6"/>
  <c r="M96" i="6"/>
  <c r="M61" i="3"/>
  <c r="M60" i="3"/>
  <c r="M116" i="1"/>
  <c r="M115" i="1"/>
  <c r="M100" i="11"/>
  <c r="M101" i="11"/>
  <c r="M85" i="12"/>
  <c r="M86" i="12"/>
  <c r="M66" i="10"/>
  <c r="M65" i="10"/>
  <c r="M96" i="4"/>
  <c r="M95" i="4"/>
  <c r="M81" i="9"/>
  <c r="M80" i="9"/>
  <c r="M110" i="1" l="1"/>
  <c r="M111" i="1"/>
  <c r="M76" i="9"/>
  <c r="M75" i="9"/>
  <c r="M91" i="4"/>
  <c r="M90" i="4"/>
  <c r="M80" i="2"/>
  <c r="M81" i="2"/>
  <c r="M90" i="7"/>
  <c r="M91" i="7"/>
  <c r="M60" i="10" l="1"/>
  <c r="M61" i="10"/>
  <c r="M76" i="2"/>
  <c r="M75" i="2"/>
  <c r="M86" i="7"/>
  <c r="M85" i="7"/>
  <c r="M101" i="5"/>
  <c r="M100" i="5"/>
  <c r="M86" i="4"/>
  <c r="M85" i="4"/>
  <c r="M81" i="7"/>
  <c r="M80" i="7"/>
  <c r="M96" i="11"/>
  <c r="M95" i="11"/>
  <c r="M90" i="11"/>
  <c r="M91" i="11"/>
  <c r="M90" i="6"/>
  <c r="M91" i="6"/>
  <c r="M212" i="14"/>
  <c r="M211" i="14"/>
  <c r="M96" i="5"/>
  <c r="M95" i="5"/>
  <c r="M105" i="1"/>
  <c r="M106" i="1"/>
  <c r="M91" i="5"/>
  <c r="M90" i="5"/>
  <c r="M80" i="12"/>
  <c r="M81" i="12"/>
  <c r="M76" i="8"/>
  <c r="M75" i="8"/>
  <c r="M70" i="2"/>
  <c r="M71" i="2"/>
  <c r="M76" i="7"/>
  <c r="M75" i="7"/>
  <c r="M151" i="13"/>
  <c r="M75" i="4"/>
  <c r="M76" i="4"/>
  <c r="M71" i="8"/>
  <c r="M70" i="8"/>
  <c r="M101" i="1"/>
  <c r="M100" i="1"/>
  <c r="M65" i="2"/>
  <c r="M66" i="2"/>
  <c r="M70" i="4"/>
  <c r="M71" i="4"/>
  <c r="M66" i="4"/>
  <c r="M65" i="4"/>
  <c r="M86" i="11"/>
  <c r="M85" i="11"/>
  <c r="M95" i="1"/>
  <c r="M96" i="1"/>
  <c r="M80" i="11"/>
  <c r="M81" i="11"/>
  <c r="M61" i="4"/>
  <c r="M60" i="4"/>
  <c r="M75" i="12"/>
  <c r="M76" i="12"/>
  <c r="M90" i="1"/>
  <c r="M91" i="1"/>
  <c r="M75" i="11"/>
  <c r="M76" i="11"/>
  <c r="M86" i="6"/>
  <c r="M85" i="6"/>
  <c r="M56" i="10"/>
  <c r="M55" i="10"/>
  <c r="M70" i="11"/>
  <c r="M71" i="11"/>
  <c r="M60" i="2"/>
  <c r="M61" i="2"/>
  <c r="M85" i="1"/>
  <c r="M86" i="1"/>
  <c r="M50" i="3"/>
  <c r="M51" i="3"/>
  <c r="M65" i="11"/>
  <c r="M66" i="11"/>
  <c r="M206" i="14"/>
  <c r="M205" i="14"/>
  <c r="M201" i="14"/>
  <c r="M200" i="14"/>
  <c r="M196" i="14"/>
  <c r="M195" i="14"/>
  <c r="M191" i="14"/>
  <c r="M190" i="14"/>
  <c r="I185" i="14"/>
  <c r="H185" i="14"/>
  <c r="F185" i="14"/>
  <c r="E185" i="14"/>
  <c r="M186" i="14"/>
  <c r="M185" i="14"/>
  <c r="M181" i="14"/>
  <c r="M180" i="14"/>
  <c r="M176" i="14"/>
  <c r="M175" i="14"/>
  <c r="M171" i="14"/>
  <c r="M170" i="14"/>
  <c r="M166" i="14"/>
  <c r="M165" i="14"/>
  <c r="I161" i="14"/>
  <c r="I160" i="14"/>
  <c r="F161" i="14"/>
  <c r="F160" i="14"/>
  <c r="E161" i="14"/>
  <c r="E160" i="14"/>
  <c r="M161" i="14"/>
  <c r="M160" i="14"/>
  <c r="M156" i="14"/>
  <c r="M155" i="14"/>
  <c r="I151" i="14"/>
  <c r="I150" i="14"/>
  <c r="F151" i="14"/>
  <c r="F150" i="14"/>
  <c r="E151" i="14"/>
  <c r="E150" i="14"/>
  <c r="M151" i="14"/>
  <c r="M150" i="14"/>
  <c r="M146" i="14"/>
  <c r="M145" i="14"/>
  <c r="M141" i="14"/>
  <c r="M140" i="14"/>
  <c r="M136" i="14"/>
  <c r="M135" i="14"/>
  <c r="M131" i="14"/>
  <c r="M130" i="14"/>
  <c r="M126" i="14"/>
  <c r="M125" i="14"/>
  <c r="M121" i="14"/>
  <c r="M120" i="14"/>
  <c r="M116" i="14"/>
  <c r="M115" i="14"/>
  <c r="M111" i="14"/>
  <c r="M110" i="14"/>
  <c r="M106" i="14"/>
  <c r="M105" i="14"/>
  <c r="M101" i="14"/>
  <c r="M100" i="14"/>
  <c r="M55" i="2"/>
  <c r="M56" i="2"/>
  <c r="M80" i="1"/>
  <c r="M81" i="1"/>
  <c r="M70" i="7"/>
  <c r="M71" i="7"/>
  <c r="M147" i="13"/>
  <c r="M45" i="3"/>
  <c r="M46" i="3"/>
  <c r="M65" i="7"/>
  <c r="M66" i="7"/>
  <c r="M143" i="13"/>
  <c r="M41" i="3"/>
  <c r="M40" i="3"/>
  <c r="M85" i="5"/>
  <c r="M86" i="5"/>
  <c r="M51" i="2"/>
  <c r="M50" i="2"/>
  <c r="M80" i="5"/>
  <c r="M81" i="5"/>
  <c r="M75" i="5"/>
  <c r="M76" i="5"/>
  <c r="M60" i="11"/>
  <c r="M61" i="11"/>
  <c r="M60" i="7"/>
  <c r="M61" i="7"/>
  <c r="M139" i="13"/>
  <c r="M55" i="11"/>
  <c r="M56" i="11"/>
  <c r="M135" i="13"/>
  <c r="M131" i="13"/>
  <c r="M70" i="5"/>
  <c r="M71" i="5"/>
  <c r="M80" i="6"/>
  <c r="M81" i="6"/>
  <c r="M55" i="7"/>
  <c r="M56" i="7"/>
  <c r="M70" i="12"/>
  <c r="M71" i="12"/>
  <c r="M75" i="1"/>
  <c r="M76" i="1"/>
  <c r="M36" i="3"/>
  <c r="M35" i="3"/>
  <c r="M65" i="12"/>
  <c r="M66" i="12"/>
  <c r="M50" i="11"/>
  <c r="M51" i="11"/>
  <c r="M65" i="5"/>
  <c r="M66" i="5"/>
  <c r="M50" i="10"/>
  <c r="M51" i="10"/>
  <c r="M75" i="6"/>
  <c r="M76" i="6"/>
  <c r="M61" i="5"/>
  <c r="M60" i="5"/>
  <c r="M70" i="9"/>
  <c r="M71" i="9"/>
  <c r="M65" i="9"/>
  <c r="M66" i="9"/>
  <c r="M127" i="13"/>
  <c r="M45" i="10"/>
  <c r="M46" i="10"/>
  <c r="M60" i="12"/>
  <c r="M61" i="12"/>
  <c r="M123" i="13"/>
  <c r="M119" i="13"/>
  <c r="M55" i="5"/>
  <c r="M56" i="5"/>
  <c r="M115" i="13"/>
  <c r="M55" i="4"/>
  <c r="M56" i="4"/>
  <c r="M66" i="8"/>
  <c r="M65" i="8"/>
  <c r="M95" i="14"/>
  <c r="M94" i="14"/>
  <c r="M70" i="1"/>
  <c r="M71" i="1"/>
  <c r="M55" i="12"/>
  <c r="M56" i="12"/>
  <c r="M51" i="7"/>
  <c r="M50" i="7"/>
  <c r="M45" i="2"/>
  <c r="M46" i="2"/>
  <c r="M51" i="12"/>
  <c r="M50" i="12"/>
  <c r="M31" i="3"/>
  <c r="M30" i="3"/>
  <c r="M60" i="9"/>
  <c r="M61" i="9"/>
  <c r="M45" i="11"/>
  <c r="M46" i="11"/>
  <c r="M55" i="9"/>
  <c r="M56" i="9"/>
  <c r="M66" i="1"/>
  <c r="M65" i="1"/>
  <c r="M51" i="9"/>
  <c r="M50" i="9"/>
  <c r="M45" i="7"/>
  <c r="M46" i="7"/>
  <c r="M50" i="5"/>
  <c r="M51" i="5"/>
  <c r="M89" i="14"/>
  <c r="M88" i="14"/>
  <c r="M71" i="6"/>
  <c r="M70" i="6"/>
  <c r="M40" i="7"/>
  <c r="M41" i="7"/>
  <c r="M84" i="14"/>
  <c r="M83" i="14"/>
  <c r="M79" i="14"/>
  <c r="M78" i="14"/>
  <c r="M74" i="14"/>
  <c r="M73" i="14"/>
  <c r="M69" i="14"/>
  <c r="M68" i="14"/>
  <c r="M41" i="10"/>
  <c r="M40" i="10"/>
  <c r="M41" i="2"/>
  <c r="M40" i="2"/>
  <c r="M64" i="14"/>
  <c r="M63" i="14"/>
  <c r="M59" i="14"/>
  <c r="M58" i="14"/>
  <c r="M46" i="9"/>
  <c r="M45" i="9"/>
  <c r="M54" i="14"/>
  <c r="M53" i="14"/>
  <c r="M49" i="14"/>
  <c r="M48" i="14"/>
  <c r="M44" i="14"/>
  <c r="M43" i="14"/>
  <c r="M39" i="14"/>
  <c r="M38" i="14"/>
  <c r="M34" i="14"/>
  <c r="M33" i="14"/>
  <c r="M110" i="13"/>
  <c r="M65" i="6"/>
  <c r="M66" i="6"/>
  <c r="M36" i="2"/>
  <c r="M35" i="2"/>
  <c r="M35" i="7"/>
  <c r="M36" i="7"/>
  <c r="M26" i="3"/>
  <c r="M25" i="3"/>
  <c r="M46" i="5"/>
  <c r="M45" i="5"/>
  <c r="M21" i="3"/>
  <c r="M20" i="3"/>
  <c r="M45" i="12"/>
  <c r="M46" i="12"/>
  <c r="M31" i="2"/>
  <c r="M30" i="2"/>
  <c r="M61" i="1"/>
  <c r="M60" i="1"/>
  <c r="M31" i="7"/>
  <c r="M30" i="7"/>
  <c r="M26" i="2"/>
  <c r="M25" i="2"/>
  <c r="M60" i="8"/>
  <c r="M61" i="8"/>
  <c r="M60" i="6"/>
  <c r="M61" i="6"/>
  <c r="M41" i="5"/>
  <c r="M40" i="5"/>
  <c r="M40" i="11"/>
  <c r="M41" i="11"/>
  <c r="M36" i="10"/>
  <c r="M35" i="10"/>
  <c r="M56" i="6"/>
  <c r="M55" i="6"/>
  <c r="M55" i="1"/>
  <c r="M56" i="1"/>
  <c r="M50" i="1"/>
  <c r="M51" i="1"/>
  <c r="M35" i="11"/>
  <c r="M36" i="11"/>
  <c r="M15" i="3"/>
  <c r="M46" i="1"/>
  <c r="M45" i="1"/>
  <c r="M56" i="8"/>
  <c r="M55" i="8"/>
  <c r="M41" i="9"/>
  <c r="M40" i="9"/>
  <c r="M40" i="12"/>
  <c r="M41" i="12"/>
  <c r="M36" i="5"/>
  <c r="M35" i="5"/>
  <c r="M51" i="8"/>
  <c r="M50" i="8"/>
  <c r="M30" i="5"/>
  <c r="M31" i="5"/>
  <c r="M36" i="12"/>
  <c r="M35" i="12"/>
  <c r="M26" i="5"/>
  <c r="M25" i="5"/>
  <c r="M50" i="4"/>
  <c r="M51" i="4"/>
  <c r="M106" i="13"/>
  <c r="M46" i="4"/>
  <c r="M45" i="4"/>
  <c r="M41" i="4"/>
  <c r="M40" i="4"/>
  <c r="M36" i="4"/>
  <c r="M35" i="4"/>
  <c r="M45" i="8"/>
  <c r="M46" i="8"/>
  <c r="M30" i="10"/>
  <c r="M31" i="10"/>
  <c r="M51" i="6"/>
  <c r="M50" i="6"/>
  <c r="M41" i="1"/>
  <c r="M40" i="1"/>
  <c r="M30" i="12"/>
  <c r="M31" i="12"/>
  <c r="M35" i="1"/>
  <c r="M36" i="1"/>
  <c r="M21" i="5"/>
  <c r="M20" i="5"/>
  <c r="M31" i="4"/>
  <c r="M30" i="4"/>
  <c r="M102" i="13"/>
  <c r="M98" i="13"/>
  <c r="M28" i="14"/>
  <c r="M27" i="14"/>
  <c r="M23" i="14"/>
  <c r="M22" i="14"/>
  <c r="M36" i="9"/>
  <c r="M35" i="9"/>
  <c r="M30" i="1"/>
  <c r="M31" i="1"/>
  <c r="M21" i="2"/>
  <c r="M20" i="2"/>
  <c r="M25" i="10"/>
  <c r="M26" i="4"/>
  <c r="M25" i="4"/>
  <c r="M45" i="6"/>
  <c r="M46" i="6"/>
  <c r="M25" i="1"/>
  <c r="M26" i="1"/>
  <c r="M40" i="8"/>
  <c r="M41" i="8"/>
  <c r="M30" i="9"/>
  <c r="M31" i="9"/>
  <c r="M25" i="7"/>
  <c r="M26" i="7"/>
  <c r="M26" i="9"/>
  <c r="M25" i="9"/>
  <c r="M40" i="6"/>
  <c r="M41" i="6"/>
  <c r="M15" i="5"/>
  <c r="M16" i="5"/>
  <c r="M20" i="7"/>
  <c r="M21" i="7"/>
  <c r="M36" i="8"/>
  <c r="M35" i="8"/>
  <c r="M21" i="9"/>
  <c r="M20" i="9"/>
  <c r="M11" i="3"/>
  <c r="M10" i="3"/>
  <c r="M31" i="11"/>
  <c r="M30" i="11"/>
  <c r="M17" i="14"/>
  <c r="M16" i="14"/>
  <c r="M12" i="14"/>
  <c r="M11" i="14"/>
  <c r="M36" i="6" l="1"/>
  <c r="M35" i="6"/>
  <c r="M31" i="8"/>
  <c r="M30" i="8"/>
  <c r="M26" i="11"/>
  <c r="M25" i="11"/>
  <c r="M26" i="12"/>
  <c r="M25" i="12"/>
  <c r="M94" i="13"/>
  <c r="M20" i="12"/>
  <c r="M21" i="12"/>
  <c r="M90" i="13"/>
  <c r="M86" i="13"/>
  <c r="M30" i="6"/>
  <c r="M31" i="6"/>
  <c r="M20" i="1"/>
  <c r="M21" i="1"/>
  <c r="M15" i="9"/>
  <c r="M16" i="9"/>
  <c r="M82" i="13"/>
  <c r="M15" i="7"/>
  <c r="M16" i="7"/>
  <c r="M20" i="10"/>
  <c r="M21" i="10"/>
  <c r="M78" i="13"/>
  <c r="M26" i="8"/>
  <c r="M21" i="4" l="1"/>
  <c r="M20" i="4"/>
  <c r="M74" i="13"/>
  <c r="M25" i="8"/>
  <c r="M20" i="11"/>
  <c r="M21" i="11"/>
  <c r="M15" i="1"/>
  <c r="M16" i="1"/>
  <c r="M10" i="7"/>
  <c r="M11" i="7"/>
  <c r="M15" i="4"/>
  <c r="M16" i="4"/>
  <c r="M10" i="4" l="1"/>
  <c r="M11" i="4"/>
  <c r="M20" i="8"/>
  <c r="M21" i="8"/>
  <c r="M6" i="14" l="1"/>
  <c r="M5" i="14"/>
  <c r="M10" i="13" l="1"/>
  <c r="M5" i="13"/>
  <c r="M26" i="13" l="1"/>
  <c r="M14" i="13"/>
  <c r="M62" i="13"/>
  <c r="M18" i="13"/>
  <c r="M34" i="13"/>
  <c r="M50" i="13"/>
  <c r="M66" i="13"/>
  <c r="M42" i="13"/>
  <c r="M58" i="13"/>
  <c r="M30" i="13"/>
  <c r="M46" i="13"/>
  <c r="M22" i="13"/>
  <c r="M38" i="13"/>
  <c r="M54" i="13"/>
  <c r="M70" i="13"/>
  <c r="M16" i="12"/>
  <c r="M15" i="12"/>
  <c r="M11" i="12"/>
  <c r="M10" i="12"/>
  <c r="M6" i="12"/>
  <c r="M5" i="12"/>
  <c r="M16" i="11"/>
  <c r="M15" i="11"/>
  <c r="M11" i="11"/>
  <c r="M10" i="11"/>
  <c r="M6" i="11"/>
  <c r="M5" i="11"/>
  <c r="M16" i="10"/>
  <c r="M15" i="10"/>
  <c r="M11" i="10"/>
  <c r="M10" i="10"/>
  <c r="M6" i="10"/>
  <c r="M5" i="10"/>
  <c r="M11" i="9"/>
  <c r="M10" i="9"/>
  <c r="M6" i="9"/>
  <c r="M5" i="9"/>
  <c r="M16" i="8"/>
  <c r="M15" i="8"/>
  <c r="M11" i="8"/>
  <c r="M10" i="8"/>
  <c r="M6" i="8"/>
  <c r="M5" i="8"/>
  <c r="M6" i="7"/>
  <c r="M5" i="7"/>
  <c r="M26" i="6"/>
  <c r="M25" i="6"/>
  <c r="M21" i="6"/>
  <c r="M20" i="6"/>
  <c r="M16" i="6"/>
  <c r="M15" i="6"/>
  <c r="M11" i="6"/>
  <c r="M10" i="6"/>
  <c r="M6" i="6"/>
  <c r="M5" i="6"/>
  <c r="M11" i="5"/>
  <c r="M10" i="5"/>
  <c r="M6" i="5"/>
  <c r="M5" i="5"/>
  <c r="M6" i="4"/>
  <c r="M5" i="4"/>
  <c r="M6" i="3"/>
  <c r="M5" i="3"/>
  <c r="M11" i="2"/>
  <c r="M10" i="2"/>
  <c r="M6" i="2"/>
  <c r="M5" i="2"/>
  <c r="M10" i="1"/>
  <c r="M5" i="1"/>
  <c r="M6" i="1" l="1"/>
  <c r="M11" i="1"/>
</calcChain>
</file>

<file path=xl/sharedStrings.xml><?xml version="1.0" encoding="utf-8"?>
<sst xmlns="http://schemas.openxmlformats.org/spreadsheetml/2006/main" count="5489" uniqueCount="477">
  <si>
    <t>Atlanta Dream</t>
  </si>
  <si>
    <t>Renee Montgomery</t>
  </si>
  <si>
    <t>Season</t>
  </si>
  <si>
    <t>Team</t>
  </si>
  <si>
    <t>G</t>
  </si>
  <si>
    <t>FG%</t>
  </si>
  <si>
    <t>FT%</t>
  </si>
  <si>
    <t>3PM</t>
  </si>
  <si>
    <t>RPG</t>
  </si>
  <si>
    <t>APG</t>
  </si>
  <si>
    <t>STL</t>
  </si>
  <si>
    <t>BLK</t>
  </si>
  <si>
    <t>PTS</t>
  </si>
  <si>
    <t>PPG</t>
  </si>
  <si>
    <t>ATL</t>
  </si>
  <si>
    <t>Career</t>
  </si>
  <si>
    <t>11 WNBA Seasons</t>
  </si>
  <si>
    <t>Alex Bentley</t>
  </si>
  <si>
    <t>7 WNBA Seasons</t>
  </si>
  <si>
    <t>Shekinna Stricklen</t>
  </si>
  <si>
    <t>10 WNBA Seasons</t>
  </si>
  <si>
    <t>Alexis Jones</t>
  </si>
  <si>
    <t>LA</t>
  </si>
  <si>
    <t>3 WNBA Seasons</t>
  </si>
  <si>
    <t>Glory Johnson</t>
  </si>
  <si>
    <t>8 WNBA Seasons</t>
  </si>
  <si>
    <t>Tianna Hawkins</t>
  </si>
  <si>
    <t>Candice Dupree</t>
  </si>
  <si>
    <t>SEA/ATL</t>
  </si>
  <si>
    <t>16 WNBA Seasons</t>
  </si>
  <si>
    <t>Aari McDonald</t>
  </si>
  <si>
    <t>4 WNBA Seasons</t>
  </si>
  <si>
    <t>Blake Dietrick</t>
  </si>
  <si>
    <t>5 WNBA Seasons</t>
  </si>
  <si>
    <t>Nia Coffey</t>
  </si>
  <si>
    <t>Cheyenne Parker-Tyus</t>
  </si>
  <si>
    <t>Megan Walker</t>
  </si>
  <si>
    <t>PHX</t>
  </si>
  <si>
    <t>2 WNBA Seasons</t>
  </si>
  <si>
    <t>Naz Hillmon</t>
  </si>
  <si>
    <t>1 WNBA Season</t>
  </si>
  <si>
    <t>Kia Vaughn</t>
  </si>
  <si>
    <t>13 WNBA Seasons</t>
  </si>
  <si>
    <t>Danielle Robinson</t>
  </si>
  <si>
    <t>IND</t>
  </si>
  <si>
    <t>Rhyne Howard</t>
  </si>
  <si>
    <t>Asia Durr</t>
  </si>
  <si>
    <t>NY/ATL</t>
  </si>
  <si>
    <t>Beatrice Mompremier</t>
  </si>
  <si>
    <t>Aerial Powers</t>
  </si>
  <si>
    <t>9 WNBA Seasons</t>
  </si>
  <si>
    <t>Haley Jones</t>
  </si>
  <si>
    <t>Allisha Gray</t>
  </si>
  <si>
    <t>Maya Caldwell</t>
  </si>
  <si>
    <t>Laeticia Amihere</t>
  </si>
  <si>
    <t>Jordin Canada</t>
  </si>
  <si>
    <t>Chicago Sky</t>
  </si>
  <si>
    <t>Allie Quigley</t>
  </si>
  <si>
    <t>CHI</t>
  </si>
  <si>
    <t>14 WNBA Seasons</t>
  </si>
  <si>
    <t>Jamierra Faulkner</t>
  </si>
  <si>
    <t>Kayla Alexander</t>
  </si>
  <si>
    <t>Ruthy Hebard</t>
  </si>
  <si>
    <t>Julie Allemand</t>
  </si>
  <si>
    <t>Crystal Bradford</t>
  </si>
  <si>
    <t>Kaela Davis</t>
  </si>
  <si>
    <t>Dana Evans</t>
  </si>
  <si>
    <t>Elizabeth Williams</t>
  </si>
  <si>
    <t>Rebekah Gardner</t>
  </si>
  <si>
    <t>Marina Mabrey</t>
  </si>
  <si>
    <t>CHI/CONN</t>
  </si>
  <si>
    <t>6 WNBA Seasons</t>
  </si>
  <si>
    <t>Alanna Smith</t>
  </si>
  <si>
    <t>MIN</t>
  </si>
  <si>
    <t>Diamond DeShields</t>
  </si>
  <si>
    <t>Isabelle Harrison</t>
  </si>
  <si>
    <t>Angel Reese</t>
  </si>
  <si>
    <t>Rachel Banham</t>
  </si>
  <si>
    <t>CONN/CHI</t>
  </si>
  <si>
    <t>Chennedy Carter</t>
  </si>
  <si>
    <t>Kamilla Cardoso</t>
  </si>
  <si>
    <t>Lindsay Allen</t>
  </si>
  <si>
    <t>Moriah Jefferson</t>
  </si>
  <si>
    <t>Connecticut Sun</t>
  </si>
  <si>
    <t>Alyssa Thomas</t>
  </si>
  <si>
    <t>CONN</t>
  </si>
  <si>
    <t>Brionna Jones</t>
  </si>
  <si>
    <t>DiJonai Carrington</t>
  </si>
  <si>
    <t>Stephanie Jones</t>
  </si>
  <si>
    <t>Kaila Charles</t>
  </si>
  <si>
    <t>SEA</t>
  </si>
  <si>
    <t>Nia Clouden</t>
  </si>
  <si>
    <t>Olivia Nelson-Ododa</t>
  </si>
  <si>
    <t>1 NCAA Season</t>
  </si>
  <si>
    <t>Tyasha Harris</t>
  </si>
  <si>
    <t>DeWanna Bonner</t>
  </si>
  <si>
    <t>15 WNBA Seasons</t>
  </si>
  <si>
    <t>Rebecca Allen</t>
  </si>
  <si>
    <t>Veronica Burton</t>
  </si>
  <si>
    <t>Tiffany Mitchell</t>
  </si>
  <si>
    <t>Bria Hartley</t>
  </si>
  <si>
    <t>IND/CONN</t>
  </si>
  <si>
    <t>Dallas Wings</t>
  </si>
  <si>
    <t>Tayler Hill</t>
  </si>
  <si>
    <t>DAL</t>
  </si>
  <si>
    <t>Imani McGee-Stafford</t>
  </si>
  <si>
    <t>Astou Ndour-Fall</t>
  </si>
  <si>
    <t>Arike Ogunbowale</t>
  </si>
  <si>
    <t>Satou Sabally</t>
  </si>
  <si>
    <t>Awak Kuier</t>
  </si>
  <si>
    <t>Charli Collier</t>
  </si>
  <si>
    <t>Bella Alarie</t>
  </si>
  <si>
    <t>Chelsea Dungee</t>
  </si>
  <si>
    <t>Teaira McCowan</t>
  </si>
  <si>
    <t>Crystal Dangerfield</t>
  </si>
  <si>
    <t>Kalani Brown</t>
  </si>
  <si>
    <t>Maddy Siegrist</t>
  </si>
  <si>
    <t>Natasha Howard</t>
  </si>
  <si>
    <t>Odyssey Sims</t>
  </si>
  <si>
    <t xml:space="preserve">Sevgi Uzun </t>
  </si>
  <si>
    <t>Jacy Sheldon</t>
  </si>
  <si>
    <t>Jaelyn Brown</t>
  </si>
  <si>
    <t>Stephanie Soares</t>
  </si>
  <si>
    <t>Lou Lopez Senechal</t>
  </si>
  <si>
    <t>Golden State Valkyries</t>
  </si>
  <si>
    <t>Kayla Thornton</t>
  </si>
  <si>
    <t>NY</t>
  </si>
  <si>
    <t>Monique Billings</t>
  </si>
  <si>
    <t>DAL/PHX</t>
  </si>
  <si>
    <t>Kate Martin</t>
  </si>
  <si>
    <t>LV</t>
  </si>
  <si>
    <t>Temi Fagbenle</t>
  </si>
  <si>
    <t>Julie Vanloo</t>
  </si>
  <si>
    <t>WAS</t>
  </si>
  <si>
    <t>Indiana Fever</t>
  </si>
  <si>
    <t>Kelsey Mitchell</t>
  </si>
  <si>
    <t>Stephanie Mavunga</t>
  </si>
  <si>
    <t>Jantel Lavender</t>
  </si>
  <si>
    <t>Aaliyah Wilson</t>
  </si>
  <si>
    <t>Bernadett Hatar</t>
  </si>
  <si>
    <t>Jessica Breland</t>
  </si>
  <si>
    <t>Chelsey Perry</t>
  </si>
  <si>
    <t>Emma Cannon</t>
  </si>
  <si>
    <t>LV/CONN/IND</t>
  </si>
  <si>
    <t>Kysre Gondrezick</t>
  </si>
  <si>
    <t>Alaina Coates</t>
  </si>
  <si>
    <t>Emily Engstler</t>
  </si>
  <si>
    <t>Kristy Wallace</t>
  </si>
  <si>
    <t>2,2</t>
  </si>
  <si>
    <t>Erica Wheeler</t>
  </si>
  <si>
    <t>Queen Egbo</t>
  </si>
  <si>
    <t>Lexie Hull</t>
  </si>
  <si>
    <t>NaLyssa Smith</t>
  </si>
  <si>
    <t>Destanni Henderson</t>
  </si>
  <si>
    <t>Grace Berger</t>
  </si>
  <si>
    <t>Aliyah Boston</t>
  </si>
  <si>
    <t>Caitlin Clark</t>
  </si>
  <si>
    <t>Katie Lou Samuelson</t>
  </si>
  <si>
    <t>Brianna Turner</t>
  </si>
  <si>
    <t>Las Vegas Aces</t>
  </si>
  <si>
    <t>A'ja Wilson</t>
  </si>
  <si>
    <t>Tamera Young</t>
  </si>
  <si>
    <t>12 WNBA Seasons</t>
  </si>
  <si>
    <t>Kelsey Plum</t>
  </si>
  <si>
    <t>Carolyn Swords</t>
  </si>
  <si>
    <t>Kelsey Bone</t>
  </si>
  <si>
    <t>Sugar Rodgers</t>
  </si>
  <si>
    <t>Jackie Young</t>
  </si>
  <si>
    <t>Riquna Williams</t>
  </si>
  <si>
    <t>Chelsea Gray</t>
  </si>
  <si>
    <t>Destiny Slocum</t>
  </si>
  <si>
    <t>Ji-su Park</t>
  </si>
  <si>
    <t>Kiah Stokes</t>
  </si>
  <si>
    <t>Liz Cambage</t>
  </si>
  <si>
    <t>Sydney Colson</t>
  </si>
  <si>
    <t>Alysha Clark</t>
  </si>
  <si>
    <t>Candace Parker</t>
  </si>
  <si>
    <t>Cayla George</t>
  </si>
  <si>
    <t>Tiffany Hayes</t>
  </si>
  <si>
    <t>Kierstan Bell</t>
  </si>
  <si>
    <t>Jewell Loyd</t>
  </si>
  <si>
    <t>Los Angeles Sparks</t>
  </si>
  <si>
    <t>Maria Vadeeva</t>
  </si>
  <si>
    <t>Chiney Ogwumike</t>
  </si>
  <si>
    <t>Tierra Ruffin-Pratt</t>
  </si>
  <si>
    <t>Bria Holmes</t>
  </si>
  <si>
    <t>Amanda Zahui B.</t>
  </si>
  <si>
    <t>Arella Guirantes</t>
  </si>
  <si>
    <t>Lauren Cox</t>
  </si>
  <si>
    <t>IND/LA</t>
  </si>
  <si>
    <t>Lexie Brown</t>
  </si>
  <si>
    <t>Jasmine Thomas</t>
  </si>
  <si>
    <t>Stephanie Talbot</t>
  </si>
  <si>
    <t>Layshia Clarendon</t>
  </si>
  <si>
    <t>Dearica Hamby</t>
  </si>
  <si>
    <t>Reshanda Gray</t>
  </si>
  <si>
    <t>SEA/PHX</t>
  </si>
  <si>
    <t>Azura Stevens</t>
  </si>
  <si>
    <t>Zia Cooke</t>
  </si>
  <si>
    <t>Rickea Jackson</t>
  </si>
  <si>
    <t>Cameron Brink</t>
  </si>
  <si>
    <t>Li Yueru</t>
  </si>
  <si>
    <t>Rae Burrell</t>
  </si>
  <si>
    <t>Kia Nurse</t>
  </si>
  <si>
    <t>Minnesota Lynx</t>
  </si>
  <si>
    <t>Sylvia Fowles</t>
  </si>
  <si>
    <t>Cecilia Zandalasini</t>
  </si>
  <si>
    <t>Erlana Larkins</t>
  </si>
  <si>
    <t>Damiris Dantas</t>
  </si>
  <si>
    <t>Karima Christmas-Kelly</t>
  </si>
  <si>
    <t>Napheesa Collier</t>
  </si>
  <si>
    <t>Bridget Carleton</t>
  </si>
  <si>
    <t>Kayla McBride</t>
  </si>
  <si>
    <t>Natalie Achonwa</t>
  </si>
  <si>
    <t>Natasha Mack</t>
  </si>
  <si>
    <t>CHI/MIN</t>
  </si>
  <si>
    <t>Jessica Shepard</t>
  </si>
  <si>
    <t>Angel McCoughtry</t>
  </si>
  <si>
    <t>Nikolina Milic</t>
  </si>
  <si>
    <t>Diamond Miller</t>
  </si>
  <si>
    <t>Dorka Juhasz</t>
  </si>
  <si>
    <t>Alissa Pili</t>
  </si>
  <si>
    <t>1 WNBA SEASON</t>
  </si>
  <si>
    <t>Olivia Epoupa</t>
  </si>
  <si>
    <t>Natisha Hiedeman</t>
  </si>
  <si>
    <t>Myisha Hines-Allen</t>
  </si>
  <si>
    <t>WAS/MIN</t>
  </si>
  <si>
    <t>Courtney Williams</t>
  </si>
  <si>
    <t>New York Liberty</t>
  </si>
  <si>
    <t>Brittany Boyd</t>
  </si>
  <si>
    <t>Marissa Coleman</t>
  </si>
  <si>
    <t>Tanisha Wright</t>
  </si>
  <si>
    <t>Jocelyn Willoughby</t>
  </si>
  <si>
    <t>Sabrina Ionescu</t>
  </si>
  <si>
    <t>Betnijah Laney-Hamilton</t>
  </si>
  <si>
    <t>Kylee Shook</t>
  </si>
  <si>
    <t>DiDi Richards</t>
  </si>
  <si>
    <t>Han Xu</t>
  </si>
  <si>
    <t>Marine Johannes</t>
  </si>
  <si>
    <t>Courtney Vandersloot</t>
  </si>
  <si>
    <t>Breanna Stewart</t>
  </si>
  <si>
    <t>Epiphanny Prince</t>
  </si>
  <si>
    <t>Jonquel Jones</t>
  </si>
  <si>
    <t>Jaylyn Sherrod</t>
  </si>
  <si>
    <t>Marquesha Davis</t>
  </si>
  <si>
    <t>Nyara Sabally</t>
  </si>
  <si>
    <t>Ivana Dojkic</t>
  </si>
  <si>
    <t>International Totals</t>
  </si>
  <si>
    <t>Leonie Fiebich</t>
  </si>
  <si>
    <t>Phoenix Mercury</t>
  </si>
  <si>
    <t>Brittney Griner</t>
  </si>
  <si>
    <t>Diana Taurasi</t>
  </si>
  <si>
    <t>20 WNBA Seasons</t>
  </si>
  <si>
    <t>Angel Robinson</t>
  </si>
  <si>
    <t>Essence Carson</t>
  </si>
  <si>
    <t>Sophie Cunningham</t>
  </si>
  <si>
    <t>Leaonna Odom</t>
  </si>
  <si>
    <t>Shey Peddy</t>
  </si>
  <si>
    <t>Kristine Anigwe</t>
  </si>
  <si>
    <t>DAL/LA</t>
  </si>
  <si>
    <t>Megan Gustafson</t>
  </si>
  <si>
    <t>Michaela Onyenwere</t>
  </si>
  <si>
    <t>Evina Westbrook</t>
  </si>
  <si>
    <t>MIN/WAS</t>
  </si>
  <si>
    <t>Natasha Cloud</t>
  </si>
  <si>
    <t>Celeste Taylor</t>
  </si>
  <si>
    <t>IND/CONN/PHX</t>
  </si>
  <si>
    <t>Kahleah Copper</t>
  </si>
  <si>
    <t>Charisma Osborne</t>
  </si>
  <si>
    <t>Seattle Storm</t>
  </si>
  <si>
    <t>Kaleena Mosqueda-Lewis</t>
  </si>
  <si>
    <t>Crystal Langhorne</t>
  </si>
  <si>
    <t>Courtney Paris</t>
  </si>
  <si>
    <t>Morgan Tuck</t>
  </si>
  <si>
    <t>Mercedes Russell</t>
  </si>
  <si>
    <t>Ezi Magbegor</t>
  </si>
  <si>
    <t>Kennedy Burke</t>
  </si>
  <si>
    <t>Briann January</t>
  </si>
  <si>
    <t>Jasmine Walker</t>
  </si>
  <si>
    <t>Theresa Plaisance</t>
  </si>
  <si>
    <t>Gabby Williams</t>
  </si>
  <si>
    <t>Tina Charles</t>
  </si>
  <si>
    <t>Yvonne Turner</t>
  </si>
  <si>
    <t>MIN/ATL/PHX</t>
  </si>
  <si>
    <t>Sami Whitcomb</t>
  </si>
  <si>
    <t>Joyner Holmes</t>
  </si>
  <si>
    <t>Skylar Diggins</t>
  </si>
  <si>
    <t>Jordan Horston</t>
  </si>
  <si>
    <t>Victoria Vivians</t>
  </si>
  <si>
    <t>,798</t>
  </si>
  <si>
    <t>Nika Muhl</t>
  </si>
  <si>
    <t>Nneka Ogwumike</t>
  </si>
  <si>
    <t>Washington Mystics</t>
  </si>
  <si>
    <t>Elena Delle Donne</t>
  </si>
  <si>
    <t>LaToya Sanders</t>
  </si>
  <si>
    <t>Ariel Atkins</t>
  </si>
  <si>
    <t>Leilani Mitchell</t>
  </si>
  <si>
    <t>Emma Meesseman</t>
  </si>
  <si>
    <t>Sydney Wiese</t>
  </si>
  <si>
    <t>Shatori Walker-Kimbrough</t>
  </si>
  <si>
    <t>Shavonte Zellous</t>
  </si>
  <si>
    <t>Erica McCall</t>
  </si>
  <si>
    <t>Rui Machida</t>
  </si>
  <si>
    <t>Jazmine Jones</t>
  </si>
  <si>
    <t>CONN/WAS</t>
  </si>
  <si>
    <t>Kristi Toliver</t>
  </si>
  <si>
    <t>Brittney Sykes</t>
  </si>
  <si>
    <t>Shakira Austin</t>
  </si>
  <si>
    <t>Stefanie Dolson</t>
  </si>
  <si>
    <t>Karlie Samuelson</t>
  </si>
  <si>
    <t>Sug Sutton</t>
  </si>
  <si>
    <t>PHX/WAS</t>
  </si>
  <si>
    <t>Jade Melbourne</t>
  </si>
  <si>
    <t>Aaliyah Edwards</t>
  </si>
  <si>
    <t>Retired</t>
  </si>
  <si>
    <t>Becky Hammon</t>
  </si>
  <si>
    <t>Cynthia Cooper-Dyke</t>
  </si>
  <si>
    <t>Lynette Woodard</t>
  </si>
  <si>
    <t>Nancy Lieberman</t>
  </si>
  <si>
    <t>Rebecca Lobo</t>
  </si>
  <si>
    <t>Sheryl Swoopes</t>
  </si>
  <si>
    <t>Lisa Leslie</t>
  </si>
  <si>
    <t>Dawn Staley</t>
  </si>
  <si>
    <t>Katie Smith</t>
  </si>
  <si>
    <t>Lauren Jackson</t>
  </si>
  <si>
    <t>Lindsay Whalen</t>
  </si>
  <si>
    <t>Tamika Catchings</t>
  </si>
  <si>
    <t>Teresa Edwards</t>
  </si>
  <si>
    <t>Teresa Weatherspoon</t>
  </si>
  <si>
    <t>Ticha Penicheiro</t>
  </si>
  <si>
    <t>Tina Thompson</t>
  </si>
  <si>
    <t>17 WNBA Seasons</t>
  </si>
  <si>
    <t>Yolanda Griffith</t>
  </si>
  <si>
    <t>Cappie Pondexter</t>
  </si>
  <si>
    <t>Alana Beard</t>
  </si>
  <si>
    <t>Rebekkah Brunson</t>
  </si>
  <si>
    <t>Sancho Lyttle</t>
  </si>
  <si>
    <t>Camille Little</t>
  </si>
  <si>
    <t>Monique Currie</t>
  </si>
  <si>
    <t>Swin Cash</t>
  </si>
  <si>
    <t>Maya Moore</t>
  </si>
  <si>
    <t>Seimone Augustus</t>
  </si>
  <si>
    <t>Chamique Holdsclaw</t>
  </si>
  <si>
    <t>Ruth Riley</t>
  </si>
  <si>
    <t>Ruthie Bolton</t>
  </si>
  <si>
    <t>Taj McWilliams-Franklin</t>
  </si>
  <si>
    <t>Nykesha Sales</t>
  </si>
  <si>
    <t>Deanna Nolan</t>
  </si>
  <si>
    <t>Shannon Johnson</t>
  </si>
  <si>
    <t>Katie Douglas</t>
  </si>
  <si>
    <t>Cheryl Ford</t>
  </si>
  <si>
    <t>Jackie Stiles</t>
  </si>
  <si>
    <t>Sue Bird</t>
  </si>
  <si>
    <t>19 WNBA Seasons</t>
  </si>
  <si>
    <t>Penny Taylor</t>
  </si>
  <si>
    <t>Rookies</t>
  </si>
  <si>
    <t>Kiara Leslie</t>
  </si>
  <si>
    <t>2018-19</t>
  </si>
  <si>
    <t>NC State</t>
  </si>
  <si>
    <t>2 NCAA Seasons</t>
  </si>
  <si>
    <t>Mikiah Herbert Harrigan</t>
  </si>
  <si>
    <t>2019-20</t>
  </si>
  <si>
    <t>South Carolina</t>
  </si>
  <si>
    <t>4 NCAA Seasons</t>
  </si>
  <si>
    <t>Kitija Laksa</t>
  </si>
  <si>
    <t>South Florida</t>
  </si>
  <si>
    <t>Rennia Davis</t>
  </si>
  <si>
    <t>2020-21</t>
  </si>
  <si>
    <t>Tennessee</t>
  </si>
  <si>
    <t>Stephanie Watts</t>
  </si>
  <si>
    <t>North Carolina</t>
  </si>
  <si>
    <t>Mya Hollingshed</t>
  </si>
  <si>
    <t>2021-22</t>
  </si>
  <si>
    <t>Colorado</t>
  </si>
  <si>
    <t>5 NCAA Seasons</t>
  </si>
  <si>
    <t>Khayla Pointer</t>
  </si>
  <si>
    <t>LSU</t>
  </si>
  <si>
    <t>Christyn Williams</t>
  </si>
  <si>
    <t>UConn</t>
  </si>
  <si>
    <t>Kianna Smith</t>
  </si>
  <si>
    <t>Louisville</t>
  </si>
  <si>
    <t>Elissa Cunane</t>
  </si>
  <si>
    <t>Aisha Sheppard</t>
  </si>
  <si>
    <t>Virginia Tech</t>
  </si>
  <si>
    <t>Sam Thomas</t>
  </si>
  <si>
    <t>Arizona</t>
  </si>
  <si>
    <t>Lorela Cubaj</t>
  </si>
  <si>
    <t>Georgia Tech</t>
  </si>
  <si>
    <t>Jasmine Dickey</t>
  </si>
  <si>
    <t>Delaware</t>
  </si>
  <si>
    <t>Sparkle Taylor</t>
  </si>
  <si>
    <t>2016-17</t>
  </si>
  <si>
    <t>UTEP</t>
  </si>
  <si>
    <t>Amy Atwell</t>
  </si>
  <si>
    <t>Hawaii</t>
  </si>
  <si>
    <t>Anneli Maley</t>
  </si>
  <si>
    <t>TCU</t>
  </si>
  <si>
    <t>Maya Dodson</t>
  </si>
  <si>
    <t>Notre Dame</t>
  </si>
  <si>
    <t>Abby Meyers</t>
  </si>
  <si>
    <t>2022-23</t>
  </si>
  <si>
    <t>Maryland</t>
  </si>
  <si>
    <t>Taylor Mikesell</t>
  </si>
  <si>
    <t>Ohio State</t>
  </si>
  <si>
    <t>Leigha Brown</t>
  </si>
  <si>
    <t>Michigan</t>
  </si>
  <si>
    <t>LaDazhia Williams</t>
  </si>
  <si>
    <t>Madi Williams</t>
  </si>
  <si>
    <t>Oklahoma</t>
  </si>
  <si>
    <t>Ashley Joens</t>
  </si>
  <si>
    <t>Iowa State</t>
  </si>
  <si>
    <t>Elena Tsineke</t>
  </si>
  <si>
    <t>Dulcy Fankam Mendjiadeu</t>
  </si>
  <si>
    <t>Alexis Morris</t>
  </si>
  <si>
    <t>Kayana Traylor</t>
  </si>
  <si>
    <t>Brea Beal</t>
  </si>
  <si>
    <t>Victaria Saxton</t>
  </si>
  <si>
    <t>Monika Czinano</t>
  </si>
  <si>
    <t>Iowa</t>
  </si>
  <si>
    <t>Destiny Harden</t>
  </si>
  <si>
    <t>Miami</t>
  </si>
  <si>
    <t>Taylor Soule</t>
  </si>
  <si>
    <t>Kadi Sissoko</t>
  </si>
  <si>
    <t>USC</t>
  </si>
  <si>
    <t>Okako Adika</t>
  </si>
  <si>
    <t>3 NCAA Seasons</t>
  </si>
  <si>
    <t>Paige Robinson</t>
  </si>
  <si>
    <t>Illinois State</t>
  </si>
  <si>
    <t>Jade Loville</t>
  </si>
  <si>
    <t>Ashten Prechtel</t>
  </si>
  <si>
    <t>Stanford</t>
  </si>
  <si>
    <t>Kseniya Malashka</t>
  </si>
  <si>
    <t>Middle Tennessee</t>
  </si>
  <si>
    <t>Brittany Davis</t>
  </si>
  <si>
    <t>Alabama</t>
  </si>
  <si>
    <t>Dyaisha Fair</t>
  </si>
  <si>
    <t>2023-24</t>
  </si>
  <si>
    <t>Syracuse</t>
  </si>
  <si>
    <t>Charisma Osborn</t>
  </si>
  <si>
    <t>UCLA</t>
  </si>
  <si>
    <t>Elizabeth Kitley</t>
  </si>
  <si>
    <t>Sarah Ashlee Barker</t>
  </si>
  <si>
    <t>2024-25</t>
  </si>
  <si>
    <t>Hailey Van Lith</t>
  </si>
  <si>
    <t>Saniya Rivers</t>
  </si>
  <si>
    <t>Aneesah Morrow</t>
  </si>
  <si>
    <t>Georgia Amoore</t>
  </si>
  <si>
    <t>Kentucky</t>
  </si>
  <si>
    <t>Kiki Iriafen</t>
  </si>
  <si>
    <t>Sonia Citron</t>
  </si>
  <si>
    <t>Paige Bueckers</t>
  </si>
  <si>
    <t>Te-Hina Paopao</t>
  </si>
  <si>
    <t>Aziaha James</t>
  </si>
  <si>
    <t>Lucy Olsen</t>
  </si>
  <si>
    <t>Maddy Westbeld</t>
  </si>
  <si>
    <t>Aaliyah Nye</t>
  </si>
  <si>
    <t>Kaitlyn Chen</t>
  </si>
  <si>
    <t>Madison Scott</t>
  </si>
  <si>
    <t>Ole Miss</t>
  </si>
  <si>
    <t>Makayla Timpson</t>
  </si>
  <si>
    <t>Florida State</t>
  </si>
  <si>
    <t>Rayah Marshall</t>
  </si>
  <si>
    <t>JJ Quinerly</t>
  </si>
  <si>
    <t>West Virginia</t>
  </si>
  <si>
    <t>Liatu King</t>
  </si>
  <si>
    <t>Player</t>
  </si>
  <si>
    <t>Old Team</t>
  </si>
  <si>
    <t>New Team</t>
  </si>
  <si>
    <t>Connecticut</t>
  </si>
  <si>
    <t>Atlanta</t>
  </si>
  <si>
    <t>Minnesota</t>
  </si>
  <si>
    <t>Las Vegas</t>
  </si>
  <si>
    <t>New York</t>
  </si>
  <si>
    <t>Phoenix</t>
  </si>
  <si>
    <t>Washington</t>
  </si>
  <si>
    <t>Los Angeles</t>
  </si>
  <si>
    <t>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</si>
</sst>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.000"/>
    <numFmt numFmtId="165" formatCode="0.0"/>
    <numFmt numFmtId="166" formatCode="0.000"/>
  </numFmts>
  <fonts count="13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7"/>
      <color theme="1"/>
      <name val="Arial"/>
      <family val="2"/>
    </font>
    <font>
      <b/>
      <sz val="6"/>
      <color theme="1"/>
      <name val="Arial"/>
      <family val="2"/>
    </font>
    <font>
      <sz val="10"/>
      <name val="Arial"/>
      <family val="2"/>
    </font>
    <font>
      <b/>
      <sz val="11"/>
      <color rgb="FF00008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CDCD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/>
  </cellStyleXfs>
  <cellXfs count="41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6" fillId="0" borderId="0" xfId="1"/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0" fontId="9" fillId="4" borderId="2" xfId="0" applyFont="1" applyFill="1" applyBorder="1" applyAlignment="1">
      <alignment vertical="top" wrapText="1"/>
    </xf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0" fontId="12" fillId="0" borderId="0" xfId="0" applyFont="1"/>
  </cellXfs>
  <cellStyles count="2">
    <cellStyle name="Normal" xfId="0" builtinId="0"/>
    <cellStyle name="Normal 56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21"/>
  <sheetViews>
    <sheetView zoomScale="120" zoomScaleNormal="120" workbookViewId="0">
      <selection activeCell="B118" sqref="B118"/>
    </sheetView>
  </sheetViews>
  <sheetFormatPr defaultColWidth="45" defaultRowHeight="15" customHeight="1"/>
  <cols>
    <col min="1" max="1" width="2.7109375" style="1" customWidth="1"/>
    <col min="2" max="2" width="17.7109375" style="13" bestFit="1" customWidth="1"/>
    <col min="3" max="3" width="19.140625" style="1" bestFit="1" customWidth="1"/>
    <col min="4" max="4" width="4.28515625" style="1" customWidth="1"/>
    <col min="5" max="5" width="7.42578125" style="2" bestFit="1" customWidth="1"/>
    <col min="6" max="6" width="4.85546875" style="2" bestFit="1" customWidth="1"/>
    <col min="7" max="7" width="4.42578125" style="1" bestFit="1" customWidth="1"/>
    <col min="8" max="8" width="4.140625" style="3" bestFit="1" customWidth="1"/>
    <col min="9" max="9" width="4.28515625" style="3" bestFit="1" customWidth="1"/>
    <col min="10" max="10" width="5.140625" style="1" customWidth="1"/>
    <col min="11" max="11" width="4.42578125" style="1" bestFit="1" customWidth="1"/>
    <col min="12" max="12" width="5.28515625" style="1" bestFit="1" customWidth="1"/>
    <col min="13" max="13" width="4.42578125" style="3" bestFit="1" customWidth="1"/>
    <col min="14" max="14" width="4.42578125" style="3" customWidth="1"/>
    <col min="15" max="16384" width="45" style="1"/>
  </cols>
  <sheetData>
    <row r="1" spans="2:14" ht="15" customHeight="1">
      <c r="B1" s="33" t="s">
        <v>0</v>
      </c>
    </row>
    <row r="3" spans="2:14" ht="15" customHeight="1">
      <c r="B3" s="30" t="s">
        <v>1</v>
      </c>
    </row>
    <row r="4" spans="2:14" ht="15" customHeight="1">
      <c r="B4" s="19" t="s">
        <v>2</v>
      </c>
      <c r="C4" s="20" t="s">
        <v>3</v>
      </c>
      <c r="D4" s="21" t="s">
        <v>4</v>
      </c>
      <c r="E4" s="22" t="s">
        <v>5</v>
      </c>
      <c r="F4" s="22" t="s">
        <v>6</v>
      </c>
      <c r="G4" s="21" t="s">
        <v>7</v>
      </c>
      <c r="H4" s="23" t="s">
        <v>8</v>
      </c>
      <c r="I4" s="23" t="s">
        <v>9</v>
      </c>
      <c r="J4" s="21" t="s">
        <v>10</v>
      </c>
      <c r="K4" s="21" t="s">
        <v>11</v>
      </c>
      <c r="L4" s="21" t="s">
        <v>12</v>
      </c>
      <c r="M4" s="23" t="s">
        <v>13</v>
      </c>
      <c r="N4" s="8"/>
    </row>
    <row r="5" spans="2:14" ht="15" customHeight="1">
      <c r="B5" s="24">
        <v>2019</v>
      </c>
      <c r="C5" s="18" t="s">
        <v>14</v>
      </c>
      <c r="D5" s="24">
        <v>34</v>
      </c>
      <c r="E5" s="25">
        <v>0.37</v>
      </c>
      <c r="F5" s="25">
        <v>0.82399999999999995</v>
      </c>
      <c r="G5" s="24">
        <v>68</v>
      </c>
      <c r="H5" s="26">
        <v>2.2000000000000002</v>
      </c>
      <c r="I5" s="26">
        <v>2.6</v>
      </c>
      <c r="J5" s="24">
        <v>31</v>
      </c>
      <c r="K5" s="24">
        <v>6</v>
      </c>
      <c r="L5" s="24">
        <v>324</v>
      </c>
      <c r="M5" s="26">
        <f>L5/D5</f>
        <v>9.5294117647058822</v>
      </c>
      <c r="N5" s="12"/>
    </row>
    <row r="6" spans="2:14" ht="15" customHeight="1">
      <c r="B6" s="27" t="s">
        <v>15</v>
      </c>
      <c r="C6" s="18" t="s">
        <v>16</v>
      </c>
      <c r="D6" s="24">
        <v>364</v>
      </c>
      <c r="E6" s="25">
        <v>0.38600000000000001</v>
      </c>
      <c r="F6" s="25">
        <v>0.84</v>
      </c>
      <c r="G6" s="24">
        <v>532</v>
      </c>
      <c r="H6" s="26">
        <v>1.7</v>
      </c>
      <c r="I6" s="26">
        <v>3.1</v>
      </c>
      <c r="J6" s="24">
        <v>356</v>
      </c>
      <c r="K6" s="24">
        <v>37</v>
      </c>
      <c r="L6" s="24">
        <v>3534</v>
      </c>
      <c r="M6" s="26">
        <f>L6/D6</f>
        <v>9.708791208791208</v>
      </c>
      <c r="N6" s="12"/>
    </row>
    <row r="8" spans="2:14" ht="15" customHeight="1">
      <c r="B8" s="30" t="s">
        <v>17</v>
      </c>
    </row>
    <row r="9" spans="2:14" ht="15" customHeight="1">
      <c r="B9" s="19" t="s">
        <v>2</v>
      </c>
      <c r="C9" s="20" t="s">
        <v>3</v>
      </c>
      <c r="D9" s="21" t="s">
        <v>4</v>
      </c>
      <c r="E9" s="22" t="s">
        <v>5</v>
      </c>
      <c r="F9" s="22" t="s">
        <v>6</v>
      </c>
      <c r="G9" s="21" t="s">
        <v>7</v>
      </c>
      <c r="H9" s="23" t="s">
        <v>8</v>
      </c>
      <c r="I9" s="23" t="s">
        <v>9</v>
      </c>
      <c r="J9" s="21" t="s">
        <v>10</v>
      </c>
      <c r="K9" s="21" t="s">
        <v>11</v>
      </c>
      <c r="L9" s="21" t="s">
        <v>12</v>
      </c>
      <c r="M9" s="23" t="s">
        <v>13</v>
      </c>
      <c r="N9" s="8"/>
    </row>
    <row r="10" spans="2:14" ht="15" customHeight="1">
      <c r="B10" s="24">
        <v>2019</v>
      </c>
      <c r="C10" s="18" t="s">
        <v>14</v>
      </c>
      <c r="D10" s="24">
        <v>29</v>
      </c>
      <c r="E10" s="25">
        <v>0.307</v>
      </c>
      <c r="F10" s="25">
        <v>0.85699999999999998</v>
      </c>
      <c r="G10" s="24">
        <v>32</v>
      </c>
      <c r="H10" s="26">
        <v>1.9</v>
      </c>
      <c r="I10" s="26">
        <v>3</v>
      </c>
      <c r="J10" s="24">
        <v>21</v>
      </c>
      <c r="K10" s="24">
        <v>9</v>
      </c>
      <c r="L10" s="24">
        <v>260</v>
      </c>
      <c r="M10" s="26">
        <f>L10/D10</f>
        <v>8.9655172413793096</v>
      </c>
      <c r="N10" s="12"/>
    </row>
    <row r="11" spans="2:14" ht="15" customHeight="1">
      <c r="B11" s="27" t="s">
        <v>15</v>
      </c>
      <c r="C11" s="18" t="s">
        <v>18</v>
      </c>
      <c r="D11" s="24">
        <v>222</v>
      </c>
      <c r="E11" s="25">
        <v>0.38700000000000001</v>
      </c>
      <c r="F11" s="25">
        <v>0.78100000000000003</v>
      </c>
      <c r="G11" s="24">
        <v>239</v>
      </c>
      <c r="H11" s="26">
        <v>1.7</v>
      </c>
      <c r="I11" s="26">
        <v>2.9</v>
      </c>
      <c r="J11" s="24">
        <v>244</v>
      </c>
      <c r="K11" s="24">
        <v>30</v>
      </c>
      <c r="L11" s="24">
        <v>2350</v>
      </c>
      <c r="M11" s="26">
        <f>L11/D11</f>
        <v>10.585585585585585</v>
      </c>
      <c r="N11" s="12"/>
    </row>
    <row r="13" spans="2:14" ht="15" customHeight="1">
      <c r="B13" s="30" t="s">
        <v>19</v>
      </c>
    </row>
    <row r="14" spans="2:14" ht="15" customHeight="1">
      <c r="B14" s="19" t="s">
        <v>2</v>
      </c>
      <c r="C14" s="20" t="s">
        <v>3</v>
      </c>
      <c r="D14" s="21" t="s">
        <v>4</v>
      </c>
      <c r="E14" s="22" t="s">
        <v>5</v>
      </c>
      <c r="F14" s="22" t="s">
        <v>6</v>
      </c>
      <c r="G14" s="21" t="s">
        <v>7</v>
      </c>
      <c r="H14" s="23" t="s">
        <v>8</v>
      </c>
      <c r="I14" s="23" t="s">
        <v>9</v>
      </c>
      <c r="J14" s="21" t="s">
        <v>10</v>
      </c>
      <c r="K14" s="21" t="s">
        <v>11</v>
      </c>
      <c r="L14" s="21" t="s">
        <v>12</v>
      </c>
      <c r="M14" s="23" t="s">
        <v>13</v>
      </c>
      <c r="N14" s="8"/>
    </row>
    <row r="15" spans="2:14" ht="15" customHeight="1">
      <c r="B15" s="24">
        <v>2021</v>
      </c>
      <c r="C15" s="18" t="s">
        <v>14</v>
      </c>
      <c r="D15" s="24">
        <v>24</v>
      </c>
      <c r="E15" s="25">
        <v>0.25900000000000001</v>
      </c>
      <c r="F15" s="25">
        <v>0.4</v>
      </c>
      <c r="G15" s="24">
        <v>14</v>
      </c>
      <c r="H15" s="26">
        <v>0.9</v>
      </c>
      <c r="I15" s="26">
        <v>0.3</v>
      </c>
      <c r="J15" s="24">
        <v>10</v>
      </c>
      <c r="K15" s="24">
        <v>4</v>
      </c>
      <c r="L15" s="24">
        <v>60</v>
      </c>
      <c r="M15" s="26">
        <f>L15/D15</f>
        <v>2.5</v>
      </c>
      <c r="N15" s="12"/>
    </row>
    <row r="16" spans="2:14" ht="15" customHeight="1">
      <c r="B16" s="27" t="s">
        <v>15</v>
      </c>
      <c r="C16" s="18" t="s">
        <v>20</v>
      </c>
      <c r="D16" s="24">
        <v>311</v>
      </c>
      <c r="E16" s="25">
        <v>0.39800000000000002</v>
      </c>
      <c r="F16" s="25">
        <v>0.748</v>
      </c>
      <c r="G16" s="24">
        <v>468</v>
      </c>
      <c r="H16" s="26">
        <v>2.2999999999999998</v>
      </c>
      <c r="I16" s="26">
        <v>0.8</v>
      </c>
      <c r="J16" s="24">
        <v>213</v>
      </c>
      <c r="K16" s="24">
        <v>54</v>
      </c>
      <c r="L16" s="24">
        <v>2245</v>
      </c>
      <c r="M16" s="26">
        <f>L16/D16</f>
        <v>7.2186495176848871</v>
      </c>
      <c r="N16" s="12"/>
    </row>
    <row r="18" spans="2:14" ht="15" customHeight="1">
      <c r="B18" s="30" t="s">
        <v>21</v>
      </c>
    </row>
    <row r="19" spans="2:14" ht="15" customHeight="1">
      <c r="B19" s="19" t="s">
        <v>2</v>
      </c>
      <c r="C19" s="20" t="s">
        <v>3</v>
      </c>
      <c r="D19" s="21" t="s">
        <v>4</v>
      </c>
      <c r="E19" s="22" t="s">
        <v>5</v>
      </c>
      <c r="F19" s="22" t="s">
        <v>6</v>
      </c>
      <c r="G19" s="21" t="s">
        <v>7</v>
      </c>
      <c r="H19" s="23" t="s">
        <v>8</v>
      </c>
      <c r="I19" s="23" t="s">
        <v>9</v>
      </c>
      <c r="J19" s="21" t="s">
        <v>10</v>
      </c>
      <c r="K19" s="21" t="s">
        <v>11</v>
      </c>
      <c r="L19" s="21" t="s">
        <v>12</v>
      </c>
      <c r="M19" s="23" t="s">
        <v>13</v>
      </c>
      <c r="N19" s="8"/>
    </row>
    <row r="20" spans="2:14" ht="15" customHeight="1">
      <c r="B20" s="24">
        <v>2019</v>
      </c>
      <c r="C20" s="18" t="s">
        <v>22</v>
      </c>
      <c r="D20" s="24">
        <v>20</v>
      </c>
      <c r="E20" s="25">
        <v>0.4</v>
      </c>
      <c r="F20" s="25">
        <v>0.8</v>
      </c>
      <c r="G20" s="24">
        <v>11</v>
      </c>
      <c r="H20" s="26">
        <v>1.1000000000000001</v>
      </c>
      <c r="I20" s="26">
        <v>1.8</v>
      </c>
      <c r="J20" s="24">
        <v>6</v>
      </c>
      <c r="K20" s="24">
        <v>4</v>
      </c>
      <c r="L20" s="24">
        <v>79</v>
      </c>
      <c r="M20" s="26">
        <f>L20/D20</f>
        <v>3.95</v>
      </c>
      <c r="N20" s="12"/>
    </row>
    <row r="21" spans="2:14" ht="15" customHeight="1">
      <c r="B21" s="27" t="s">
        <v>15</v>
      </c>
      <c r="C21" s="18" t="s">
        <v>23</v>
      </c>
      <c r="D21" s="24">
        <v>75</v>
      </c>
      <c r="E21" s="25">
        <v>0.36299999999999999</v>
      </c>
      <c r="F21" s="25">
        <v>0.81100000000000005</v>
      </c>
      <c r="G21" s="24">
        <v>38</v>
      </c>
      <c r="H21" s="26">
        <v>0.9</v>
      </c>
      <c r="I21" s="26">
        <v>1</v>
      </c>
      <c r="J21" s="24">
        <v>17</v>
      </c>
      <c r="K21" s="24">
        <v>6</v>
      </c>
      <c r="L21" s="24">
        <v>240</v>
      </c>
      <c r="M21" s="26">
        <f>L21/D21</f>
        <v>3.2</v>
      </c>
      <c r="N21" s="12"/>
    </row>
    <row r="22" spans="2:14" ht="15" customHeight="1">
      <c r="B22" s="9"/>
      <c r="D22" s="10"/>
      <c r="E22" s="11"/>
      <c r="F22" s="11"/>
      <c r="G22" s="10"/>
      <c r="H22" s="12"/>
      <c r="I22" s="12"/>
      <c r="J22" s="10"/>
      <c r="K22" s="10"/>
      <c r="L22" s="10"/>
      <c r="M22" s="12"/>
      <c r="N22" s="12"/>
    </row>
    <row r="23" spans="2:14" ht="15" customHeight="1">
      <c r="B23" s="30" t="s">
        <v>24</v>
      </c>
    </row>
    <row r="24" spans="2:14" ht="15" customHeight="1">
      <c r="B24" s="19" t="s">
        <v>2</v>
      </c>
      <c r="C24" s="20" t="s">
        <v>3</v>
      </c>
      <c r="D24" s="21" t="s">
        <v>4</v>
      </c>
      <c r="E24" s="22" t="s">
        <v>5</v>
      </c>
      <c r="F24" s="22" t="s">
        <v>6</v>
      </c>
      <c r="G24" s="21" t="s">
        <v>7</v>
      </c>
      <c r="H24" s="23" t="s">
        <v>8</v>
      </c>
      <c r="I24" s="23" t="s">
        <v>9</v>
      </c>
      <c r="J24" s="21" t="s">
        <v>10</v>
      </c>
      <c r="K24" s="21" t="s">
        <v>11</v>
      </c>
      <c r="L24" s="21" t="s">
        <v>12</v>
      </c>
      <c r="M24" s="23" t="s">
        <v>13</v>
      </c>
      <c r="N24" s="8"/>
    </row>
    <row r="25" spans="2:14" ht="15" customHeight="1">
      <c r="B25" s="24">
        <v>2020</v>
      </c>
      <c r="C25" s="18" t="s">
        <v>14</v>
      </c>
      <c r="D25" s="24">
        <v>18</v>
      </c>
      <c r="E25" s="25">
        <v>0.373</v>
      </c>
      <c r="F25" s="25">
        <v>0.5</v>
      </c>
      <c r="G25" s="24">
        <v>11</v>
      </c>
      <c r="H25" s="26">
        <v>3.7</v>
      </c>
      <c r="I25" s="26">
        <v>0.6</v>
      </c>
      <c r="J25" s="24">
        <v>15</v>
      </c>
      <c r="K25" s="24">
        <v>7</v>
      </c>
      <c r="L25" s="24">
        <v>85</v>
      </c>
      <c r="M25" s="26">
        <f>L25/D25</f>
        <v>4.7222222222222223</v>
      </c>
      <c r="N25" s="12"/>
    </row>
    <row r="26" spans="2:14" ht="15" customHeight="1">
      <c r="B26" s="27" t="s">
        <v>15</v>
      </c>
      <c r="C26" s="18" t="s">
        <v>25</v>
      </c>
      <c r="D26" s="24">
        <v>222</v>
      </c>
      <c r="E26" s="25">
        <v>0.44</v>
      </c>
      <c r="F26" s="25">
        <v>0.72799999999999998</v>
      </c>
      <c r="G26" s="24">
        <v>89</v>
      </c>
      <c r="H26" s="26">
        <v>7.4</v>
      </c>
      <c r="I26" s="26">
        <v>1.3</v>
      </c>
      <c r="J26" s="24">
        <v>289</v>
      </c>
      <c r="K26" s="24">
        <v>108</v>
      </c>
      <c r="L26" s="24">
        <v>2531</v>
      </c>
      <c r="M26" s="26">
        <f>L26/D26</f>
        <v>11.400900900900901</v>
      </c>
      <c r="N26" s="12"/>
    </row>
    <row r="28" spans="2:14" ht="15" customHeight="1">
      <c r="B28" s="30" t="s">
        <v>26</v>
      </c>
    </row>
    <row r="29" spans="2:14" ht="15" customHeight="1">
      <c r="B29" s="19" t="s">
        <v>2</v>
      </c>
      <c r="C29" s="20" t="s">
        <v>3</v>
      </c>
      <c r="D29" s="21" t="s">
        <v>4</v>
      </c>
      <c r="E29" s="22" t="s">
        <v>5</v>
      </c>
      <c r="F29" s="22" t="s">
        <v>6</v>
      </c>
      <c r="G29" s="21" t="s">
        <v>7</v>
      </c>
      <c r="H29" s="23" t="s">
        <v>8</v>
      </c>
      <c r="I29" s="23" t="s">
        <v>9</v>
      </c>
      <c r="J29" s="21" t="s">
        <v>10</v>
      </c>
      <c r="K29" s="21" t="s">
        <v>11</v>
      </c>
      <c r="L29" s="21" t="s">
        <v>12</v>
      </c>
      <c r="M29" s="23" t="s">
        <v>13</v>
      </c>
      <c r="N29" s="8"/>
    </row>
    <row r="30" spans="2:14" ht="15" customHeight="1">
      <c r="B30" s="24">
        <v>2021</v>
      </c>
      <c r="C30" s="18" t="s">
        <v>14</v>
      </c>
      <c r="D30" s="24">
        <v>28</v>
      </c>
      <c r="E30" s="25">
        <v>0.39700000000000002</v>
      </c>
      <c r="F30" s="25">
        <v>0.91300000000000003</v>
      </c>
      <c r="G30" s="24">
        <v>16</v>
      </c>
      <c r="H30" s="26">
        <v>3.1</v>
      </c>
      <c r="I30" s="26">
        <v>0.6</v>
      </c>
      <c r="J30" s="24">
        <v>11</v>
      </c>
      <c r="K30" s="24">
        <v>14</v>
      </c>
      <c r="L30" s="24">
        <v>137</v>
      </c>
      <c r="M30" s="26">
        <f>L30/D30</f>
        <v>4.8928571428571432</v>
      </c>
      <c r="N30" s="12"/>
    </row>
    <row r="31" spans="2:14" ht="15" customHeight="1">
      <c r="B31" s="27" t="s">
        <v>15</v>
      </c>
      <c r="C31" s="18" t="s">
        <v>25</v>
      </c>
      <c r="D31" s="24">
        <v>232</v>
      </c>
      <c r="E31" s="25">
        <v>0.46600000000000003</v>
      </c>
      <c r="F31" s="25">
        <v>0.87</v>
      </c>
      <c r="G31" s="24">
        <v>124</v>
      </c>
      <c r="H31" s="26">
        <v>3.2</v>
      </c>
      <c r="I31" s="26">
        <v>0.5</v>
      </c>
      <c r="J31" s="24">
        <v>102</v>
      </c>
      <c r="K31" s="24">
        <v>59</v>
      </c>
      <c r="L31" s="24">
        <v>1375</v>
      </c>
      <c r="M31" s="26">
        <f>L31/D31</f>
        <v>5.9267241379310347</v>
      </c>
      <c r="N31" s="12"/>
    </row>
    <row r="32" spans="2:14" ht="15" customHeight="1">
      <c r="B32" s="9"/>
      <c r="D32" s="10"/>
      <c r="E32" s="11"/>
      <c r="F32" s="11"/>
      <c r="G32" s="10"/>
      <c r="H32" s="12"/>
      <c r="I32" s="12"/>
      <c r="J32" s="10"/>
      <c r="K32" s="10"/>
      <c r="L32" s="10"/>
      <c r="M32" s="12"/>
      <c r="N32" s="12"/>
    </row>
    <row r="33" spans="2:14" ht="15" customHeight="1">
      <c r="B33" s="30" t="s">
        <v>27</v>
      </c>
    </row>
    <row r="34" spans="2:14" ht="15" customHeight="1">
      <c r="B34" s="19" t="s">
        <v>2</v>
      </c>
      <c r="C34" s="20" t="s">
        <v>3</v>
      </c>
      <c r="D34" s="21" t="s">
        <v>4</v>
      </c>
      <c r="E34" s="22" t="s">
        <v>5</v>
      </c>
      <c r="F34" s="22" t="s">
        <v>6</v>
      </c>
      <c r="G34" s="21" t="s">
        <v>7</v>
      </c>
      <c r="H34" s="23" t="s">
        <v>8</v>
      </c>
      <c r="I34" s="23" t="s">
        <v>9</v>
      </c>
      <c r="J34" s="21" t="s">
        <v>10</v>
      </c>
      <c r="K34" s="21" t="s">
        <v>11</v>
      </c>
      <c r="L34" s="21" t="s">
        <v>12</v>
      </c>
      <c r="M34" s="23" t="s">
        <v>13</v>
      </c>
      <c r="N34" s="8"/>
    </row>
    <row r="35" spans="2:14" ht="15" customHeight="1">
      <c r="B35" s="24">
        <v>2021</v>
      </c>
      <c r="C35" s="18" t="s">
        <v>28</v>
      </c>
      <c r="D35" s="24">
        <v>26</v>
      </c>
      <c r="E35" s="25">
        <v>0.435</v>
      </c>
      <c r="F35" s="25">
        <v>0.81799999999999995</v>
      </c>
      <c r="G35" s="24">
        <v>1</v>
      </c>
      <c r="H35" s="26">
        <v>3</v>
      </c>
      <c r="I35" s="26">
        <v>0.7</v>
      </c>
      <c r="J35" s="24">
        <v>12</v>
      </c>
      <c r="K35" s="24">
        <v>5</v>
      </c>
      <c r="L35" s="24">
        <v>167</v>
      </c>
      <c r="M35" s="26">
        <f>L35/D35</f>
        <v>6.4230769230769234</v>
      </c>
      <c r="N35" s="12"/>
    </row>
    <row r="36" spans="2:14" ht="15" customHeight="1">
      <c r="B36" s="27" t="s">
        <v>15</v>
      </c>
      <c r="C36" s="18" t="s">
        <v>29</v>
      </c>
      <c r="D36" s="24">
        <v>494</v>
      </c>
      <c r="E36" s="25">
        <v>0.495</v>
      </c>
      <c r="F36" s="25">
        <v>0.82099999999999995</v>
      </c>
      <c r="G36" s="24">
        <v>30</v>
      </c>
      <c r="H36" s="26">
        <v>6.4</v>
      </c>
      <c r="I36" s="26">
        <v>1.8</v>
      </c>
      <c r="J36" s="24">
        <v>431</v>
      </c>
      <c r="K36" s="24">
        <v>318</v>
      </c>
      <c r="L36" s="24">
        <v>6895</v>
      </c>
      <c r="M36" s="26">
        <f>L36/D36</f>
        <v>13.957489878542511</v>
      </c>
      <c r="N36" s="12"/>
    </row>
    <row r="38" spans="2:14" ht="15" customHeight="1">
      <c r="B38" s="30" t="s">
        <v>30</v>
      </c>
    </row>
    <row r="39" spans="2:14" ht="15" customHeight="1">
      <c r="B39" s="19" t="s">
        <v>2</v>
      </c>
      <c r="C39" s="20" t="s">
        <v>3</v>
      </c>
      <c r="D39" s="21" t="s">
        <v>4</v>
      </c>
      <c r="E39" s="22" t="s">
        <v>5</v>
      </c>
      <c r="F39" s="22" t="s">
        <v>6</v>
      </c>
      <c r="G39" s="21" t="s">
        <v>7</v>
      </c>
      <c r="H39" s="23" t="s">
        <v>8</v>
      </c>
      <c r="I39" s="23" t="s">
        <v>9</v>
      </c>
      <c r="J39" s="21" t="s">
        <v>10</v>
      </c>
      <c r="K39" s="21" t="s">
        <v>11</v>
      </c>
      <c r="L39" s="21" t="s">
        <v>12</v>
      </c>
      <c r="M39" s="23" t="s">
        <v>13</v>
      </c>
      <c r="N39" s="8"/>
    </row>
    <row r="40" spans="2:14" ht="15" customHeight="1">
      <c r="B40" s="24">
        <v>2024</v>
      </c>
      <c r="C40" s="18" t="s">
        <v>22</v>
      </c>
      <c r="D40" s="24">
        <v>26</v>
      </c>
      <c r="E40" s="25">
        <v>0.40300000000000002</v>
      </c>
      <c r="F40" s="25">
        <v>0.84299999999999997</v>
      </c>
      <c r="G40" s="24">
        <v>29</v>
      </c>
      <c r="H40" s="26">
        <v>2</v>
      </c>
      <c r="I40" s="26">
        <v>3.7</v>
      </c>
      <c r="J40" s="24">
        <v>23</v>
      </c>
      <c r="K40" s="24">
        <v>6</v>
      </c>
      <c r="L40" s="24">
        <v>226</v>
      </c>
      <c r="M40" s="26">
        <f>L40/D40</f>
        <v>8.6923076923076916</v>
      </c>
      <c r="N40" s="12"/>
    </row>
    <row r="41" spans="2:14" ht="15" customHeight="1">
      <c r="B41" s="27" t="s">
        <v>15</v>
      </c>
      <c r="C41" s="18" t="s">
        <v>31</v>
      </c>
      <c r="D41" s="24">
        <v>116</v>
      </c>
      <c r="E41" s="25">
        <v>0.38900000000000001</v>
      </c>
      <c r="F41" s="25">
        <v>0.84899999999999998</v>
      </c>
      <c r="G41" s="24">
        <v>134</v>
      </c>
      <c r="H41" s="26">
        <v>2</v>
      </c>
      <c r="I41" s="26">
        <v>2.8</v>
      </c>
      <c r="J41" s="24">
        <v>115</v>
      </c>
      <c r="K41" s="24">
        <v>12</v>
      </c>
      <c r="L41" s="24">
        <v>1002</v>
      </c>
      <c r="M41" s="26">
        <f>L41/D41</f>
        <v>8.637931034482758</v>
      </c>
      <c r="N41" s="12"/>
    </row>
    <row r="42" spans="2:14" ht="15" customHeight="1">
      <c r="B42" s="9"/>
      <c r="D42" s="10"/>
      <c r="E42" s="11"/>
      <c r="F42" s="11"/>
      <c r="G42" s="10"/>
      <c r="H42" s="12"/>
      <c r="I42" s="12"/>
      <c r="J42" s="10"/>
      <c r="K42" s="10"/>
      <c r="L42" s="10"/>
      <c r="M42" s="12"/>
      <c r="N42" s="12"/>
    </row>
    <row r="43" spans="2:14" ht="15" customHeight="1">
      <c r="B43" s="30" t="s">
        <v>32</v>
      </c>
    </row>
    <row r="44" spans="2:14" ht="15" customHeight="1">
      <c r="B44" s="19" t="s">
        <v>2</v>
      </c>
      <c r="C44" s="20" t="s">
        <v>3</v>
      </c>
      <c r="D44" s="21" t="s">
        <v>4</v>
      </c>
      <c r="E44" s="22" t="s">
        <v>5</v>
      </c>
      <c r="F44" s="22" t="s">
        <v>6</v>
      </c>
      <c r="G44" s="21" t="s">
        <v>7</v>
      </c>
      <c r="H44" s="23" t="s">
        <v>8</v>
      </c>
      <c r="I44" s="23" t="s">
        <v>9</v>
      </c>
      <c r="J44" s="21" t="s">
        <v>10</v>
      </c>
      <c r="K44" s="21" t="s">
        <v>11</v>
      </c>
      <c r="L44" s="21" t="s">
        <v>12</v>
      </c>
      <c r="M44" s="23" t="s">
        <v>13</v>
      </c>
      <c r="N44" s="8"/>
    </row>
    <row r="45" spans="2:14" ht="15" customHeight="1">
      <c r="B45" s="24">
        <v>2021</v>
      </c>
      <c r="C45" s="18" t="s">
        <v>14</v>
      </c>
      <c r="D45" s="24">
        <v>9</v>
      </c>
      <c r="E45" s="25">
        <v>0.29599999999999999</v>
      </c>
      <c r="F45" s="25">
        <v>0</v>
      </c>
      <c r="G45" s="24">
        <v>5</v>
      </c>
      <c r="H45" s="26">
        <v>1.6</v>
      </c>
      <c r="I45" s="26">
        <v>1.2</v>
      </c>
      <c r="J45" s="24">
        <v>5</v>
      </c>
      <c r="K45" s="24">
        <v>1</v>
      </c>
      <c r="L45" s="24">
        <v>21</v>
      </c>
      <c r="M45" s="26">
        <f>L45/D45</f>
        <v>2.3333333333333335</v>
      </c>
      <c r="N45" s="12"/>
    </row>
    <row r="46" spans="2:14" ht="15" customHeight="1">
      <c r="B46" s="27" t="s">
        <v>15</v>
      </c>
      <c r="C46" s="18" t="s">
        <v>33</v>
      </c>
      <c r="D46" s="24">
        <v>77</v>
      </c>
      <c r="E46" s="25">
        <v>0.39900000000000002</v>
      </c>
      <c r="F46" s="25">
        <v>0.68200000000000005</v>
      </c>
      <c r="G46" s="24">
        <v>40</v>
      </c>
      <c r="H46" s="26">
        <v>1</v>
      </c>
      <c r="I46" s="26">
        <v>1.5</v>
      </c>
      <c r="J46" s="24">
        <v>33</v>
      </c>
      <c r="K46" s="24">
        <v>6</v>
      </c>
      <c r="L46" s="24">
        <v>197</v>
      </c>
      <c r="M46" s="26">
        <f>L46/D46</f>
        <v>2.5584415584415585</v>
      </c>
      <c r="N46" s="12"/>
    </row>
    <row r="47" spans="2:14" ht="15" customHeight="1">
      <c r="B47" s="9"/>
      <c r="D47" s="10"/>
      <c r="E47" s="11"/>
      <c r="F47" s="11"/>
      <c r="G47" s="10"/>
      <c r="H47" s="12"/>
      <c r="I47" s="12"/>
      <c r="J47" s="10"/>
      <c r="K47" s="10"/>
      <c r="L47" s="10"/>
      <c r="M47" s="12"/>
      <c r="N47" s="12"/>
    </row>
    <row r="48" spans="2:14" ht="15" customHeight="1">
      <c r="B48" s="30" t="s">
        <v>34</v>
      </c>
    </row>
    <row r="49" spans="2:14" ht="15" customHeight="1">
      <c r="B49" s="19" t="s">
        <v>2</v>
      </c>
      <c r="C49" s="20" t="s">
        <v>3</v>
      </c>
      <c r="D49" s="21" t="s">
        <v>4</v>
      </c>
      <c r="E49" s="22" t="s">
        <v>5</v>
      </c>
      <c r="F49" s="22" t="s">
        <v>6</v>
      </c>
      <c r="G49" s="21" t="s">
        <v>7</v>
      </c>
      <c r="H49" s="23" t="s">
        <v>8</v>
      </c>
      <c r="I49" s="23" t="s">
        <v>9</v>
      </c>
      <c r="J49" s="21" t="s">
        <v>10</v>
      </c>
      <c r="K49" s="21" t="s">
        <v>11</v>
      </c>
      <c r="L49" s="21" t="s">
        <v>12</v>
      </c>
      <c r="M49" s="23" t="s">
        <v>13</v>
      </c>
      <c r="N49" s="8"/>
    </row>
    <row r="50" spans="2:14" ht="15" customHeight="1">
      <c r="B50" s="24">
        <v>2024</v>
      </c>
      <c r="C50" s="18" t="s">
        <v>14</v>
      </c>
      <c r="D50" s="24">
        <v>40</v>
      </c>
      <c r="E50" s="25">
        <v>0.32400000000000001</v>
      </c>
      <c r="F50" s="25">
        <v>0.76200000000000001</v>
      </c>
      <c r="G50" s="24">
        <v>18</v>
      </c>
      <c r="H50" s="26">
        <v>3.1</v>
      </c>
      <c r="I50" s="26">
        <v>0.8</v>
      </c>
      <c r="J50" s="24">
        <v>12</v>
      </c>
      <c r="K50" s="24">
        <v>26</v>
      </c>
      <c r="L50" s="24">
        <v>130</v>
      </c>
      <c r="M50" s="26">
        <f>L50/D50</f>
        <v>3.25</v>
      </c>
      <c r="N50" s="12"/>
    </row>
    <row r="51" spans="2:14" ht="15" customHeight="1">
      <c r="B51" s="27" t="s">
        <v>15</v>
      </c>
      <c r="C51" s="18" t="s">
        <v>25</v>
      </c>
      <c r="D51" s="24">
        <v>217</v>
      </c>
      <c r="E51" s="25">
        <v>0.377</v>
      </c>
      <c r="F51" s="25">
        <v>0.65600000000000003</v>
      </c>
      <c r="G51" s="24">
        <v>141</v>
      </c>
      <c r="H51" s="26">
        <v>3.1</v>
      </c>
      <c r="I51" s="26">
        <v>0.8</v>
      </c>
      <c r="J51" s="24">
        <v>98</v>
      </c>
      <c r="K51" s="24">
        <v>133</v>
      </c>
      <c r="L51" s="24">
        <v>1085</v>
      </c>
      <c r="M51" s="26">
        <f>L51/D51</f>
        <v>5</v>
      </c>
      <c r="N51" s="12"/>
    </row>
    <row r="52" spans="2:14" ht="15" customHeight="1">
      <c r="B52" s="4"/>
      <c r="C52" s="5"/>
      <c r="D52" s="6"/>
      <c r="E52" s="7"/>
      <c r="F52" s="7"/>
      <c r="G52" s="6"/>
      <c r="H52" s="8"/>
      <c r="I52" s="8"/>
      <c r="J52" s="6"/>
      <c r="K52" s="6"/>
      <c r="L52" s="6"/>
      <c r="M52" s="8"/>
      <c r="N52" s="8"/>
    </row>
    <row r="53" spans="2:14" ht="15" customHeight="1">
      <c r="B53" s="30" t="s">
        <v>35</v>
      </c>
    </row>
    <row r="54" spans="2:14" ht="15" customHeight="1">
      <c r="B54" s="19" t="s">
        <v>2</v>
      </c>
      <c r="C54" s="20" t="s">
        <v>3</v>
      </c>
      <c r="D54" s="21" t="s">
        <v>4</v>
      </c>
      <c r="E54" s="22" t="s">
        <v>5</v>
      </c>
      <c r="F54" s="22" t="s">
        <v>6</v>
      </c>
      <c r="G54" s="21" t="s">
        <v>7</v>
      </c>
      <c r="H54" s="23" t="s">
        <v>8</v>
      </c>
      <c r="I54" s="23" t="s">
        <v>9</v>
      </c>
      <c r="J54" s="21" t="s">
        <v>10</v>
      </c>
      <c r="K54" s="21" t="s">
        <v>11</v>
      </c>
      <c r="L54" s="21" t="s">
        <v>12</v>
      </c>
      <c r="M54" s="23" t="s">
        <v>13</v>
      </c>
      <c r="N54" s="8"/>
    </row>
    <row r="55" spans="2:14" ht="15" customHeight="1">
      <c r="B55" s="24">
        <v>2024</v>
      </c>
      <c r="C55" s="18" t="s">
        <v>14</v>
      </c>
      <c r="D55" s="24">
        <v>25</v>
      </c>
      <c r="E55" s="25">
        <v>0.44400000000000001</v>
      </c>
      <c r="F55" s="25">
        <v>0.88600000000000001</v>
      </c>
      <c r="G55" s="24">
        <v>3</v>
      </c>
      <c r="H55" s="26">
        <v>4.8</v>
      </c>
      <c r="I55" s="26">
        <v>1.5</v>
      </c>
      <c r="J55" s="24">
        <v>21</v>
      </c>
      <c r="K55" s="24">
        <v>9</v>
      </c>
      <c r="L55" s="24">
        <v>231</v>
      </c>
      <c r="M55" s="26">
        <f>L55/D55</f>
        <v>9.24</v>
      </c>
      <c r="N55" s="12"/>
    </row>
    <row r="56" spans="2:14" ht="15" customHeight="1">
      <c r="B56" s="27" t="s">
        <v>15</v>
      </c>
      <c r="C56" s="18" t="s">
        <v>20</v>
      </c>
      <c r="D56" s="24">
        <v>280</v>
      </c>
      <c r="E56" s="25">
        <v>0.48699999999999999</v>
      </c>
      <c r="F56" s="25">
        <v>0.77400000000000002</v>
      </c>
      <c r="G56" s="24">
        <v>66</v>
      </c>
      <c r="H56" s="26">
        <v>5.0999999999999996</v>
      </c>
      <c r="I56" s="26">
        <v>1.1000000000000001</v>
      </c>
      <c r="J56" s="24">
        <v>213</v>
      </c>
      <c r="K56" s="24">
        <v>249</v>
      </c>
      <c r="L56" s="24">
        <v>2548</v>
      </c>
      <c r="M56" s="26">
        <f>L56/D56</f>
        <v>9.1</v>
      </c>
      <c r="N56" s="12"/>
    </row>
    <row r="57" spans="2:14" ht="15" customHeight="1">
      <c r="B57" s="9"/>
      <c r="D57" s="10"/>
      <c r="E57" s="11"/>
      <c r="F57" s="11"/>
      <c r="G57" s="10"/>
      <c r="H57" s="12"/>
      <c r="I57" s="12"/>
      <c r="J57" s="10"/>
      <c r="K57" s="10"/>
      <c r="L57" s="10"/>
      <c r="M57" s="12"/>
      <c r="N57" s="12"/>
    </row>
    <row r="58" spans="2:14" ht="15" customHeight="1">
      <c r="B58" s="30" t="s">
        <v>36</v>
      </c>
    </row>
    <row r="59" spans="2:14" ht="15" customHeight="1">
      <c r="B59" s="19" t="s">
        <v>2</v>
      </c>
      <c r="C59" s="20" t="s">
        <v>3</v>
      </c>
      <c r="D59" s="21" t="s">
        <v>4</v>
      </c>
      <c r="E59" s="22" t="s">
        <v>5</v>
      </c>
      <c r="F59" s="22" t="s">
        <v>6</v>
      </c>
      <c r="G59" s="21" t="s">
        <v>7</v>
      </c>
      <c r="H59" s="23" t="s">
        <v>8</v>
      </c>
      <c r="I59" s="23" t="s">
        <v>9</v>
      </c>
      <c r="J59" s="21" t="s">
        <v>10</v>
      </c>
      <c r="K59" s="21" t="s">
        <v>11</v>
      </c>
      <c r="L59" s="21" t="s">
        <v>12</v>
      </c>
      <c r="M59" s="23" t="s">
        <v>13</v>
      </c>
      <c r="N59" s="8"/>
    </row>
    <row r="60" spans="2:14" ht="15" customHeight="1">
      <c r="B60" s="24">
        <v>2021</v>
      </c>
      <c r="C60" s="18" t="s">
        <v>37</v>
      </c>
      <c r="D60" s="24">
        <v>29</v>
      </c>
      <c r="E60" s="25">
        <v>0.311</v>
      </c>
      <c r="F60" s="25">
        <v>0.63300000000000001</v>
      </c>
      <c r="G60" s="24">
        <v>20</v>
      </c>
      <c r="H60" s="26">
        <v>1.3</v>
      </c>
      <c r="I60" s="26">
        <v>0.9</v>
      </c>
      <c r="J60" s="24">
        <v>5</v>
      </c>
      <c r="K60" s="24">
        <v>8</v>
      </c>
      <c r="L60" s="24">
        <v>131</v>
      </c>
      <c r="M60" s="26">
        <f>L60/D60</f>
        <v>4.5172413793103452</v>
      </c>
      <c r="N60" s="12"/>
    </row>
    <row r="61" spans="2:14" ht="15" customHeight="1">
      <c r="B61" s="27" t="s">
        <v>15</v>
      </c>
      <c r="C61" s="18" t="s">
        <v>38</v>
      </c>
      <c r="D61" s="24">
        <v>47</v>
      </c>
      <c r="E61" s="25">
        <v>0.314</v>
      </c>
      <c r="F61" s="25">
        <v>0.629</v>
      </c>
      <c r="G61" s="24">
        <v>26</v>
      </c>
      <c r="H61" s="26">
        <v>1.4</v>
      </c>
      <c r="I61" s="26">
        <v>0.7</v>
      </c>
      <c r="J61" s="24">
        <v>9</v>
      </c>
      <c r="K61" s="24">
        <v>8</v>
      </c>
      <c r="L61" s="24">
        <v>190</v>
      </c>
      <c r="M61" s="26">
        <f>L61/D61</f>
        <v>4.042553191489362</v>
      </c>
      <c r="N61" s="12"/>
    </row>
    <row r="62" spans="2:14" ht="15" customHeight="1">
      <c r="B62" s="9"/>
      <c r="D62" s="10"/>
      <c r="E62" s="11"/>
      <c r="F62" s="11"/>
      <c r="G62" s="10"/>
      <c r="H62" s="12"/>
      <c r="I62" s="12"/>
      <c r="J62" s="10"/>
      <c r="K62" s="10"/>
      <c r="L62" s="10"/>
      <c r="M62" s="12"/>
      <c r="N62" s="12"/>
    </row>
    <row r="63" spans="2:14" ht="15" customHeight="1">
      <c r="B63" s="30" t="s">
        <v>39</v>
      </c>
      <c r="N63" s="8"/>
    </row>
    <row r="64" spans="2:14" ht="15" customHeight="1">
      <c r="B64" s="19" t="s">
        <v>2</v>
      </c>
      <c r="C64" s="20" t="s">
        <v>3</v>
      </c>
      <c r="D64" s="21" t="s">
        <v>4</v>
      </c>
      <c r="E64" s="22" t="s">
        <v>5</v>
      </c>
      <c r="F64" s="22" t="s">
        <v>6</v>
      </c>
      <c r="G64" s="21" t="s">
        <v>7</v>
      </c>
      <c r="H64" s="23" t="s">
        <v>8</v>
      </c>
      <c r="I64" s="23" t="s">
        <v>9</v>
      </c>
      <c r="J64" s="21" t="s">
        <v>10</v>
      </c>
      <c r="K64" s="21" t="s">
        <v>11</v>
      </c>
      <c r="L64" s="21" t="s">
        <v>12</v>
      </c>
      <c r="M64" s="23" t="s">
        <v>13</v>
      </c>
      <c r="N64" s="12"/>
    </row>
    <row r="65" spans="2:14" ht="15" customHeight="1">
      <c r="B65" s="24">
        <v>2022</v>
      </c>
      <c r="C65" s="18" t="s">
        <v>14</v>
      </c>
      <c r="D65" s="24">
        <v>34</v>
      </c>
      <c r="E65" s="25">
        <v>0.48</v>
      </c>
      <c r="F65" s="25">
        <v>0.82099999999999995</v>
      </c>
      <c r="G65" s="24">
        <v>0</v>
      </c>
      <c r="H65" s="26">
        <v>5.0999999999999996</v>
      </c>
      <c r="I65" s="26">
        <v>1.2</v>
      </c>
      <c r="J65" s="24">
        <v>22</v>
      </c>
      <c r="K65" s="24">
        <v>10</v>
      </c>
      <c r="L65" s="24">
        <v>150</v>
      </c>
      <c r="M65" s="26">
        <f>L65/D65</f>
        <v>4.4117647058823533</v>
      </c>
      <c r="N65" s="12"/>
    </row>
    <row r="66" spans="2:14" ht="15" customHeight="1">
      <c r="B66" s="27" t="s">
        <v>15</v>
      </c>
      <c r="C66" s="18" t="s">
        <v>40</v>
      </c>
      <c r="D66" s="24">
        <v>34</v>
      </c>
      <c r="E66" s="25">
        <v>0.48</v>
      </c>
      <c r="F66" s="25">
        <v>0.82099999999999995</v>
      </c>
      <c r="G66" s="24">
        <v>0</v>
      </c>
      <c r="H66" s="26">
        <v>5.0999999999999996</v>
      </c>
      <c r="I66" s="26">
        <v>1.2</v>
      </c>
      <c r="J66" s="24">
        <v>22</v>
      </c>
      <c r="K66" s="24">
        <v>10</v>
      </c>
      <c r="L66" s="24">
        <v>150</v>
      </c>
      <c r="M66" s="26">
        <f>L66/D66</f>
        <v>4.4117647058823533</v>
      </c>
      <c r="N66" s="17"/>
    </row>
    <row r="67" spans="2:14" ht="15" customHeight="1">
      <c r="B67" s="15"/>
      <c r="C67" s="5"/>
      <c r="D67" s="5"/>
      <c r="E67" s="16"/>
      <c r="F67" s="16"/>
      <c r="G67" s="5"/>
      <c r="H67" s="17"/>
      <c r="I67" s="17"/>
      <c r="J67" s="5"/>
      <c r="K67" s="5"/>
      <c r="L67" s="17"/>
      <c r="M67" s="17"/>
    </row>
    <row r="68" spans="2:14" ht="15" customHeight="1">
      <c r="B68" s="30" t="s">
        <v>41</v>
      </c>
    </row>
    <row r="69" spans="2:14" ht="15" customHeight="1">
      <c r="B69" s="19" t="s">
        <v>2</v>
      </c>
      <c r="C69" s="20" t="s">
        <v>3</v>
      </c>
      <c r="D69" s="21" t="s">
        <v>4</v>
      </c>
      <c r="E69" s="22" t="s">
        <v>5</v>
      </c>
      <c r="F69" s="22" t="s">
        <v>6</v>
      </c>
      <c r="G69" s="21" t="s">
        <v>7</v>
      </c>
      <c r="H69" s="23" t="s">
        <v>8</v>
      </c>
      <c r="I69" s="23" t="s">
        <v>9</v>
      </c>
      <c r="J69" s="21" t="s">
        <v>10</v>
      </c>
      <c r="K69" s="21" t="s">
        <v>11</v>
      </c>
      <c r="L69" s="21" t="s">
        <v>12</v>
      </c>
      <c r="M69" s="23" t="s">
        <v>13</v>
      </c>
      <c r="N69" s="8"/>
    </row>
    <row r="70" spans="2:14" ht="15" customHeight="1">
      <c r="B70" s="24">
        <v>2022</v>
      </c>
      <c r="C70" s="18" t="s">
        <v>14</v>
      </c>
      <c r="D70" s="24">
        <v>29</v>
      </c>
      <c r="E70" s="25">
        <v>0.4</v>
      </c>
      <c r="F70" s="25">
        <v>0.69199999999999995</v>
      </c>
      <c r="G70" s="24">
        <v>0</v>
      </c>
      <c r="H70" s="26">
        <v>3.2</v>
      </c>
      <c r="I70" s="26">
        <v>0.9</v>
      </c>
      <c r="J70" s="24">
        <v>10</v>
      </c>
      <c r="K70" s="24">
        <v>8</v>
      </c>
      <c r="L70" s="24">
        <v>73</v>
      </c>
      <c r="M70" s="26">
        <f>L70/D70</f>
        <v>2.5172413793103448</v>
      </c>
      <c r="N70" s="12"/>
    </row>
    <row r="71" spans="2:14" ht="15" customHeight="1">
      <c r="B71" s="27" t="s">
        <v>15</v>
      </c>
      <c r="C71" s="18" t="s">
        <v>42</v>
      </c>
      <c r="D71" s="24">
        <v>386</v>
      </c>
      <c r="E71" s="25">
        <v>0.46800000000000003</v>
      </c>
      <c r="F71" s="25">
        <v>0.66800000000000004</v>
      </c>
      <c r="G71" s="24">
        <v>1</v>
      </c>
      <c r="H71" s="26">
        <v>4.2</v>
      </c>
      <c r="I71" s="26">
        <v>0.8</v>
      </c>
      <c r="J71" s="24">
        <v>208</v>
      </c>
      <c r="K71" s="24">
        <v>175</v>
      </c>
      <c r="L71" s="24">
        <v>2288</v>
      </c>
      <c r="M71" s="26">
        <f>L71/D71</f>
        <v>5.9274611398963728</v>
      </c>
      <c r="N71" s="12"/>
    </row>
    <row r="72" spans="2:14" ht="15" customHeight="1">
      <c r="B72" s="29"/>
    </row>
    <row r="73" spans="2:14" ht="15" customHeight="1">
      <c r="B73" s="30" t="s">
        <v>43</v>
      </c>
    </row>
    <row r="74" spans="2:14" ht="15" customHeight="1">
      <c r="B74" s="19" t="s">
        <v>2</v>
      </c>
      <c r="C74" s="20" t="s">
        <v>3</v>
      </c>
      <c r="D74" s="21" t="s">
        <v>4</v>
      </c>
      <c r="E74" s="22" t="s">
        <v>5</v>
      </c>
      <c r="F74" s="22" t="s">
        <v>6</v>
      </c>
      <c r="G74" s="21" t="s">
        <v>7</v>
      </c>
      <c r="H74" s="23" t="s">
        <v>8</v>
      </c>
      <c r="I74" s="23" t="s">
        <v>9</v>
      </c>
      <c r="J74" s="21" t="s">
        <v>10</v>
      </c>
      <c r="K74" s="21" t="s">
        <v>11</v>
      </c>
      <c r="L74" s="21" t="s">
        <v>12</v>
      </c>
      <c r="M74" s="23" t="s">
        <v>13</v>
      </c>
      <c r="N74" s="8"/>
    </row>
    <row r="75" spans="2:14" ht="15" customHeight="1">
      <c r="B75" s="24">
        <v>2022</v>
      </c>
      <c r="C75" s="18" t="s">
        <v>44</v>
      </c>
      <c r="D75" s="24">
        <v>31</v>
      </c>
      <c r="E75" s="25">
        <v>0.41899999999999998</v>
      </c>
      <c r="F75" s="25">
        <v>0.85</v>
      </c>
      <c r="G75" s="24">
        <v>9</v>
      </c>
      <c r="H75" s="26">
        <v>2.9</v>
      </c>
      <c r="I75" s="26">
        <v>3.8</v>
      </c>
      <c r="J75" s="24">
        <v>22</v>
      </c>
      <c r="K75" s="24">
        <v>5</v>
      </c>
      <c r="L75" s="24">
        <v>230</v>
      </c>
      <c r="M75" s="26">
        <f>L75/D75</f>
        <v>7.419354838709677</v>
      </c>
      <c r="N75" s="12"/>
    </row>
    <row r="76" spans="2:14" ht="15" customHeight="1">
      <c r="B76" s="27" t="s">
        <v>15</v>
      </c>
      <c r="C76" s="18" t="s">
        <v>16</v>
      </c>
      <c r="D76" s="24">
        <v>327</v>
      </c>
      <c r="E76" s="25">
        <v>0.44900000000000001</v>
      </c>
      <c r="F76" s="25">
        <v>0.86799999999999999</v>
      </c>
      <c r="G76" s="24">
        <v>31</v>
      </c>
      <c r="H76" s="26">
        <v>2.8</v>
      </c>
      <c r="I76" s="26">
        <v>4.2</v>
      </c>
      <c r="J76" s="24">
        <v>367</v>
      </c>
      <c r="K76" s="24">
        <v>41</v>
      </c>
      <c r="L76" s="24">
        <v>2973</v>
      </c>
      <c r="M76" s="26">
        <f>L76/D76</f>
        <v>9.0917431192660558</v>
      </c>
      <c r="N76" s="12"/>
    </row>
    <row r="77" spans="2:14" s="28" customFormat="1" ht="15" customHeight="1">
      <c r="B77" s="9"/>
      <c r="C77" s="1"/>
      <c r="D77" s="10"/>
      <c r="E77" s="11"/>
      <c r="F77" s="11"/>
      <c r="G77" s="10"/>
      <c r="H77" s="12"/>
      <c r="I77" s="12"/>
      <c r="J77" s="10"/>
      <c r="K77" s="10"/>
      <c r="L77" s="10"/>
      <c r="M77" s="12"/>
      <c r="N77" s="12"/>
    </row>
    <row r="78" spans="2:14" ht="15" customHeight="1">
      <c r="B78" s="30" t="s">
        <v>45</v>
      </c>
      <c r="N78" s="8"/>
    </row>
    <row r="79" spans="2:14" ht="15" customHeight="1">
      <c r="B79" s="19" t="s">
        <v>2</v>
      </c>
      <c r="C79" s="20" t="s">
        <v>3</v>
      </c>
      <c r="D79" s="21" t="s">
        <v>4</v>
      </c>
      <c r="E79" s="22" t="s">
        <v>5</v>
      </c>
      <c r="F79" s="22" t="s">
        <v>6</v>
      </c>
      <c r="G79" s="21" t="s">
        <v>7</v>
      </c>
      <c r="H79" s="23" t="s">
        <v>8</v>
      </c>
      <c r="I79" s="23" t="s">
        <v>9</v>
      </c>
      <c r="J79" s="21" t="s">
        <v>10</v>
      </c>
      <c r="K79" s="21" t="s">
        <v>11</v>
      </c>
      <c r="L79" s="21" t="s">
        <v>12</v>
      </c>
      <c r="M79" s="23" t="s">
        <v>13</v>
      </c>
      <c r="N79" s="12"/>
    </row>
    <row r="80" spans="2:14" ht="15" customHeight="1">
      <c r="B80" s="24">
        <v>2024</v>
      </c>
      <c r="C80" s="18" t="s">
        <v>14</v>
      </c>
      <c r="D80" s="24">
        <v>30</v>
      </c>
      <c r="E80" s="25">
        <v>0.371</v>
      </c>
      <c r="F80" s="25">
        <v>0.78400000000000003</v>
      </c>
      <c r="G80" s="24">
        <v>80</v>
      </c>
      <c r="H80" s="26">
        <v>4.4000000000000004</v>
      </c>
      <c r="I80" s="26">
        <v>3.2</v>
      </c>
      <c r="J80" s="24">
        <v>54</v>
      </c>
      <c r="K80" s="24">
        <v>19</v>
      </c>
      <c r="L80" s="24">
        <v>519</v>
      </c>
      <c r="M80" s="26">
        <f>L80/D80</f>
        <v>17.3</v>
      </c>
      <c r="N80" s="12"/>
    </row>
    <row r="81" spans="2:14" ht="15" customHeight="1">
      <c r="B81" s="27" t="s">
        <v>15</v>
      </c>
      <c r="C81" s="18" t="s">
        <v>23</v>
      </c>
      <c r="D81" s="24">
        <v>103</v>
      </c>
      <c r="E81" s="25">
        <v>0.373</v>
      </c>
      <c r="F81" s="25">
        <v>0.78800000000000003</v>
      </c>
      <c r="G81" s="24">
        <v>264</v>
      </c>
      <c r="H81" s="26">
        <v>4.5999999999999996</v>
      </c>
      <c r="I81" s="26">
        <v>3.2</v>
      </c>
      <c r="J81" s="24">
        <v>159</v>
      </c>
      <c r="K81" s="24">
        <v>70</v>
      </c>
      <c r="L81" s="24">
        <v>1752</v>
      </c>
      <c r="M81" s="26">
        <f>L81/D81</f>
        <v>17.009708737864077</v>
      </c>
      <c r="N81" s="17"/>
    </row>
    <row r="82" spans="2:14" ht="15" customHeight="1">
      <c r="B82" s="15"/>
      <c r="C82" s="5"/>
      <c r="D82" s="5"/>
      <c r="E82" s="16"/>
      <c r="F82" s="16"/>
      <c r="G82" s="5"/>
      <c r="H82" s="17"/>
      <c r="I82" s="17"/>
      <c r="J82" s="5"/>
      <c r="K82" s="5"/>
      <c r="L82" s="17"/>
      <c r="M82" s="17"/>
    </row>
    <row r="83" spans="2:14" ht="15" customHeight="1">
      <c r="B83" s="30" t="s">
        <v>46</v>
      </c>
    </row>
    <row r="84" spans="2:14" ht="15" customHeight="1">
      <c r="B84" s="19" t="s">
        <v>2</v>
      </c>
      <c r="C84" s="20" t="s">
        <v>3</v>
      </c>
      <c r="D84" s="21" t="s">
        <v>4</v>
      </c>
      <c r="E84" s="22" t="s">
        <v>5</v>
      </c>
      <c r="F84" s="22" t="s">
        <v>6</v>
      </c>
      <c r="G84" s="21" t="s">
        <v>7</v>
      </c>
      <c r="H84" s="23" t="s">
        <v>8</v>
      </c>
      <c r="I84" s="23" t="s">
        <v>9</v>
      </c>
      <c r="J84" s="21" t="s">
        <v>10</v>
      </c>
      <c r="K84" s="21" t="s">
        <v>11</v>
      </c>
      <c r="L84" s="21" t="s">
        <v>12</v>
      </c>
      <c r="M84" s="23" t="s">
        <v>13</v>
      </c>
      <c r="N84" s="8"/>
    </row>
    <row r="85" spans="2:14" ht="15" customHeight="1">
      <c r="B85" s="24">
        <v>2022</v>
      </c>
      <c r="C85" s="18" t="s">
        <v>47</v>
      </c>
      <c r="D85" s="24">
        <v>25</v>
      </c>
      <c r="E85" s="25">
        <v>0.39500000000000002</v>
      </c>
      <c r="F85" s="25">
        <v>0.79500000000000004</v>
      </c>
      <c r="G85" s="24">
        <v>23</v>
      </c>
      <c r="H85" s="26">
        <v>1.2</v>
      </c>
      <c r="I85" s="26">
        <v>1.2</v>
      </c>
      <c r="J85" s="24">
        <v>9</v>
      </c>
      <c r="K85" s="24">
        <v>4</v>
      </c>
      <c r="L85" s="24">
        <v>174</v>
      </c>
      <c r="M85" s="26">
        <f>L85/D85</f>
        <v>6.96</v>
      </c>
      <c r="N85" s="12"/>
    </row>
    <row r="86" spans="2:14" ht="15" customHeight="1">
      <c r="B86" s="27" t="s">
        <v>15</v>
      </c>
      <c r="C86" s="18" t="s">
        <v>38</v>
      </c>
      <c r="D86" s="24">
        <v>43</v>
      </c>
      <c r="E86" s="25">
        <v>0.43099999999999999</v>
      </c>
      <c r="F86" s="25">
        <v>0.80300000000000005</v>
      </c>
      <c r="G86" s="24">
        <v>38</v>
      </c>
      <c r="H86" s="26">
        <v>1.4</v>
      </c>
      <c r="I86" s="26">
        <v>1.4</v>
      </c>
      <c r="J86" s="24">
        <v>19</v>
      </c>
      <c r="K86" s="24">
        <v>11</v>
      </c>
      <c r="L86" s="24">
        <v>349</v>
      </c>
      <c r="M86" s="26">
        <f>L86/D86</f>
        <v>8.1162790697674421</v>
      </c>
      <c r="N86" s="12"/>
    </row>
    <row r="88" spans="2:14" ht="15" customHeight="1">
      <c r="B88" s="30" t="s">
        <v>48</v>
      </c>
    </row>
    <row r="89" spans="2:14" ht="15" customHeight="1">
      <c r="B89" s="19" t="s">
        <v>2</v>
      </c>
      <c r="C89" s="20" t="s">
        <v>3</v>
      </c>
      <c r="D89" s="21" t="s">
        <v>4</v>
      </c>
      <c r="E89" s="22" t="s">
        <v>5</v>
      </c>
      <c r="F89" s="22" t="s">
        <v>6</v>
      </c>
      <c r="G89" s="21" t="s">
        <v>7</v>
      </c>
      <c r="H89" s="23" t="s">
        <v>8</v>
      </c>
      <c r="I89" s="23" t="s">
        <v>9</v>
      </c>
      <c r="J89" s="21" t="s">
        <v>10</v>
      </c>
      <c r="K89" s="21" t="s">
        <v>11</v>
      </c>
      <c r="L89" s="21" t="s">
        <v>12</v>
      </c>
      <c r="M89" s="23" t="s">
        <v>13</v>
      </c>
      <c r="N89" s="8"/>
    </row>
    <row r="90" spans="2:14" ht="15" customHeight="1">
      <c r="B90" s="24">
        <v>2022</v>
      </c>
      <c r="C90" s="18" t="s">
        <v>14</v>
      </c>
      <c r="D90" s="24">
        <v>21</v>
      </c>
      <c r="E90" s="25">
        <v>0.45500000000000002</v>
      </c>
      <c r="F90" s="25">
        <v>0.38500000000000001</v>
      </c>
      <c r="G90" s="24">
        <v>0</v>
      </c>
      <c r="H90" s="26">
        <v>2.8</v>
      </c>
      <c r="I90" s="26">
        <v>0.4</v>
      </c>
      <c r="J90" s="24">
        <v>2</v>
      </c>
      <c r="K90" s="24">
        <v>12</v>
      </c>
      <c r="L90" s="24">
        <v>45</v>
      </c>
      <c r="M90" s="26">
        <f>L90/D90</f>
        <v>2.1428571428571428</v>
      </c>
      <c r="N90" s="12"/>
    </row>
    <row r="91" spans="2:14" ht="15" customHeight="1">
      <c r="B91" s="27" t="s">
        <v>15</v>
      </c>
      <c r="C91" s="18" t="s">
        <v>23</v>
      </c>
      <c r="D91" s="24">
        <v>74</v>
      </c>
      <c r="E91" s="25">
        <v>0.45800000000000002</v>
      </c>
      <c r="F91" s="25">
        <v>0.41899999999999998</v>
      </c>
      <c r="G91" s="24">
        <v>0</v>
      </c>
      <c r="H91" s="26">
        <v>2.8</v>
      </c>
      <c r="I91" s="26">
        <v>0.2</v>
      </c>
      <c r="J91" s="24">
        <v>19</v>
      </c>
      <c r="K91" s="24">
        <v>33</v>
      </c>
      <c r="L91" s="24">
        <v>150</v>
      </c>
      <c r="M91" s="26">
        <f>L91/D91</f>
        <v>2.0270270270270272</v>
      </c>
      <c r="N91" s="12"/>
    </row>
    <row r="92" spans="2:14" s="28" customFormat="1" ht="15" customHeight="1">
      <c r="B92" s="9"/>
      <c r="C92" s="1"/>
      <c r="D92" s="10"/>
      <c r="E92" s="11"/>
      <c r="F92" s="11"/>
      <c r="G92" s="10"/>
      <c r="H92" s="12"/>
      <c r="I92" s="12"/>
      <c r="J92" s="10"/>
      <c r="K92" s="10"/>
      <c r="L92" s="10"/>
      <c r="M92" s="12"/>
      <c r="N92" s="12"/>
    </row>
    <row r="93" spans="2:14" ht="15" customHeight="1">
      <c r="B93" s="30" t="s">
        <v>49</v>
      </c>
    </row>
    <row r="94" spans="2:14" ht="15" customHeight="1">
      <c r="B94" s="19" t="s">
        <v>2</v>
      </c>
      <c r="C94" s="20" t="s">
        <v>3</v>
      </c>
      <c r="D94" s="21" t="s">
        <v>4</v>
      </c>
      <c r="E94" s="22" t="s">
        <v>5</v>
      </c>
      <c r="F94" s="22" t="s">
        <v>6</v>
      </c>
      <c r="G94" s="21" t="s">
        <v>7</v>
      </c>
      <c r="H94" s="23" t="s">
        <v>8</v>
      </c>
      <c r="I94" s="23" t="s">
        <v>9</v>
      </c>
      <c r="J94" s="21" t="s">
        <v>10</v>
      </c>
      <c r="K94" s="21" t="s">
        <v>11</v>
      </c>
      <c r="L94" s="21" t="s">
        <v>12</v>
      </c>
      <c r="M94" s="23" t="s">
        <v>13</v>
      </c>
      <c r="N94" s="8"/>
    </row>
    <row r="95" spans="2:14" ht="15" customHeight="1">
      <c r="B95" s="24">
        <v>2024</v>
      </c>
      <c r="C95" s="18" t="s">
        <v>14</v>
      </c>
      <c r="D95" s="24">
        <v>17</v>
      </c>
      <c r="E95" s="25">
        <v>0.35499999999999998</v>
      </c>
      <c r="F95" s="25">
        <v>0.79100000000000004</v>
      </c>
      <c r="G95" s="24">
        <v>14</v>
      </c>
      <c r="H95" s="26">
        <v>3.3</v>
      </c>
      <c r="I95" s="26">
        <v>1.4</v>
      </c>
      <c r="J95" s="24">
        <v>16</v>
      </c>
      <c r="K95" s="24">
        <v>4</v>
      </c>
      <c r="L95" s="24">
        <v>146</v>
      </c>
      <c r="M95" s="26">
        <f>L95/D95</f>
        <v>8.5882352941176467</v>
      </c>
      <c r="N95" s="12"/>
    </row>
    <row r="96" spans="2:14" ht="15" customHeight="1">
      <c r="B96" s="27" t="s">
        <v>15</v>
      </c>
      <c r="C96" s="18" t="s">
        <v>50</v>
      </c>
      <c r="D96" s="24">
        <v>190</v>
      </c>
      <c r="E96" s="25">
        <v>0.39700000000000002</v>
      </c>
      <c r="F96" s="25">
        <v>0.84399999999999997</v>
      </c>
      <c r="G96" s="24">
        <v>172</v>
      </c>
      <c r="H96" s="26">
        <v>3.3</v>
      </c>
      <c r="I96" s="26">
        <v>1.6</v>
      </c>
      <c r="J96" s="24">
        <v>151</v>
      </c>
      <c r="K96" s="24">
        <v>47</v>
      </c>
      <c r="L96" s="24">
        <v>1994</v>
      </c>
      <c r="M96" s="26">
        <f>L96/D96</f>
        <v>10.494736842105263</v>
      </c>
      <c r="N96" s="12"/>
    </row>
    <row r="97" spans="2:14" ht="15" customHeight="1">
      <c r="B97" s="4"/>
      <c r="C97" s="5"/>
      <c r="D97" s="6"/>
      <c r="E97" s="7"/>
      <c r="F97" s="7"/>
      <c r="G97" s="6"/>
      <c r="H97" s="8"/>
      <c r="I97" s="8"/>
      <c r="J97" s="6"/>
      <c r="K97" s="6"/>
      <c r="L97" s="6"/>
      <c r="M97" s="8"/>
      <c r="N97" s="8"/>
    </row>
    <row r="98" spans="2:14" ht="15" customHeight="1">
      <c r="B98" s="30" t="s">
        <v>51</v>
      </c>
    </row>
    <row r="99" spans="2:14" ht="15" customHeight="1">
      <c r="B99" s="19" t="s">
        <v>2</v>
      </c>
      <c r="C99" s="20" t="s">
        <v>3</v>
      </c>
      <c r="D99" s="21" t="s">
        <v>4</v>
      </c>
      <c r="E99" s="22" t="s">
        <v>5</v>
      </c>
      <c r="F99" s="22" t="s">
        <v>6</v>
      </c>
      <c r="G99" s="21" t="s">
        <v>7</v>
      </c>
      <c r="H99" s="23" t="s">
        <v>8</v>
      </c>
      <c r="I99" s="23" t="s">
        <v>9</v>
      </c>
      <c r="J99" s="21" t="s">
        <v>10</v>
      </c>
      <c r="K99" s="21" t="s">
        <v>11</v>
      </c>
      <c r="L99" s="21" t="s">
        <v>12</v>
      </c>
      <c r="M99" s="23" t="s">
        <v>13</v>
      </c>
      <c r="N99" s="8"/>
    </row>
    <row r="100" spans="2:14" ht="15" customHeight="1">
      <c r="B100" s="24">
        <v>2024</v>
      </c>
      <c r="C100" s="18" t="s">
        <v>14</v>
      </c>
      <c r="D100" s="24">
        <v>40</v>
      </c>
      <c r="E100" s="25">
        <v>0.39700000000000002</v>
      </c>
      <c r="F100" s="25">
        <v>0.70199999999999996</v>
      </c>
      <c r="G100" s="24">
        <v>6</v>
      </c>
      <c r="H100" s="26">
        <v>2.2000000000000002</v>
      </c>
      <c r="I100" s="26">
        <v>2.1</v>
      </c>
      <c r="J100" s="24">
        <v>14</v>
      </c>
      <c r="K100" s="24">
        <v>11</v>
      </c>
      <c r="L100" s="24">
        <v>155</v>
      </c>
      <c r="M100" s="26">
        <f>L100/D100</f>
        <v>3.875</v>
      </c>
      <c r="N100" s="12"/>
    </row>
    <row r="101" spans="2:14" ht="15" customHeight="1">
      <c r="B101" s="27" t="s">
        <v>15</v>
      </c>
      <c r="C101" s="18" t="s">
        <v>38</v>
      </c>
      <c r="D101" s="24">
        <v>80</v>
      </c>
      <c r="E101" s="25">
        <v>0.36499999999999999</v>
      </c>
      <c r="F101" s="25">
        <v>0.72699999999999998</v>
      </c>
      <c r="G101" s="24">
        <v>12</v>
      </c>
      <c r="H101" s="26">
        <v>2.2999999999999998</v>
      </c>
      <c r="I101" s="26">
        <v>2.2000000000000002</v>
      </c>
      <c r="J101" s="24">
        <v>30</v>
      </c>
      <c r="K101" s="24">
        <v>23</v>
      </c>
      <c r="L101" s="24">
        <v>304</v>
      </c>
      <c r="M101" s="26">
        <f>L101/D101</f>
        <v>3.8</v>
      </c>
      <c r="N101" s="12"/>
    </row>
    <row r="102" spans="2:14" s="28" customFormat="1" ht="15" customHeight="1">
      <c r="B102" s="9"/>
      <c r="C102" s="1"/>
      <c r="D102" s="10"/>
      <c r="E102" s="11"/>
      <c r="F102" s="11"/>
      <c r="G102" s="10"/>
      <c r="H102" s="12"/>
      <c r="I102" s="12"/>
      <c r="J102" s="10"/>
      <c r="K102" s="10"/>
      <c r="L102" s="10"/>
      <c r="M102" s="12"/>
      <c r="N102" s="12"/>
    </row>
    <row r="103" spans="2:14" ht="15" customHeight="1">
      <c r="B103" s="30" t="s">
        <v>52</v>
      </c>
    </row>
    <row r="104" spans="2:14" ht="15" customHeight="1">
      <c r="B104" s="19" t="s">
        <v>2</v>
      </c>
      <c r="C104" s="20" t="s">
        <v>3</v>
      </c>
      <c r="D104" s="21" t="s">
        <v>4</v>
      </c>
      <c r="E104" s="22" t="s">
        <v>5</v>
      </c>
      <c r="F104" s="22" t="s">
        <v>6</v>
      </c>
      <c r="G104" s="21" t="s">
        <v>7</v>
      </c>
      <c r="H104" s="23" t="s">
        <v>8</v>
      </c>
      <c r="I104" s="23" t="s">
        <v>9</v>
      </c>
      <c r="J104" s="21" t="s">
        <v>10</v>
      </c>
      <c r="K104" s="21" t="s">
        <v>11</v>
      </c>
      <c r="L104" s="21" t="s">
        <v>12</v>
      </c>
      <c r="M104" s="23" t="s">
        <v>13</v>
      </c>
      <c r="N104" s="8"/>
    </row>
    <row r="105" spans="2:14" ht="15" customHeight="1">
      <c r="B105" s="24">
        <v>2024</v>
      </c>
      <c r="C105" s="18" t="s">
        <v>14</v>
      </c>
      <c r="D105" s="24">
        <v>40</v>
      </c>
      <c r="E105" s="25">
        <v>0.40300000000000002</v>
      </c>
      <c r="F105" s="25">
        <v>0.76900000000000002</v>
      </c>
      <c r="G105" s="24">
        <v>69</v>
      </c>
      <c r="H105" s="26">
        <v>4.4000000000000004</v>
      </c>
      <c r="I105" s="26">
        <v>2.7</v>
      </c>
      <c r="J105" s="24">
        <v>42</v>
      </c>
      <c r="K105" s="24">
        <v>29</v>
      </c>
      <c r="L105" s="24">
        <v>622</v>
      </c>
      <c r="M105" s="26">
        <f>L105/D105</f>
        <v>15.55</v>
      </c>
      <c r="N105" s="12"/>
    </row>
    <row r="106" spans="2:14" ht="15" customHeight="1">
      <c r="B106" s="27" t="s">
        <v>15</v>
      </c>
      <c r="C106" s="18" t="s">
        <v>25</v>
      </c>
      <c r="D106" s="24">
        <v>258</v>
      </c>
      <c r="E106" s="25">
        <v>0.42599999999999999</v>
      </c>
      <c r="F106" s="25">
        <v>0.81699999999999995</v>
      </c>
      <c r="G106" s="24">
        <v>328</v>
      </c>
      <c r="H106" s="26">
        <v>4.4000000000000004</v>
      </c>
      <c r="I106" s="26">
        <v>2.2999999999999998</v>
      </c>
      <c r="J106" s="24">
        <v>304</v>
      </c>
      <c r="K106" s="24">
        <v>136</v>
      </c>
      <c r="L106" s="24">
        <v>3384</v>
      </c>
      <c r="M106" s="26">
        <f>L106/D106</f>
        <v>13.116279069767442</v>
      </c>
      <c r="N106" s="12"/>
    </row>
    <row r="107" spans="2:14" s="28" customFormat="1" ht="15" customHeight="1">
      <c r="B107" s="9"/>
      <c r="C107" s="1"/>
      <c r="D107" s="10"/>
      <c r="E107" s="11"/>
      <c r="F107" s="11"/>
      <c r="G107" s="10"/>
      <c r="H107" s="12"/>
      <c r="I107" s="12"/>
      <c r="J107" s="10"/>
      <c r="K107" s="10"/>
      <c r="L107" s="10"/>
      <c r="M107" s="12"/>
      <c r="N107" s="12"/>
    </row>
    <row r="108" spans="2:14" s="28" customFormat="1" ht="15" customHeight="1">
      <c r="B108" s="30" t="s">
        <v>53</v>
      </c>
      <c r="C108" s="1"/>
      <c r="D108" s="1"/>
      <c r="E108" s="2"/>
      <c r="F108" s="2"/>
      <c r="G108" s="1"/>
      <c r="H108" s="3"/>
      <c r="I108" s="3"/>
      <c r="J108" s="1"/>
      <c r="K108" s="1"/>
      <c r="L108" s="1"/>
      <c r="M108" s="3"/>
      <c r="N108" s="12"/>
    </row>
    <row r="109" spans="2:14" ht="15" customHeight="1">
      <c r="B109" s="19" t="s">
        <v>2</v>
      </c>
      <c r="C109" s="20" t="s">
        <v>3</v>
      </c>
      <c r="D109" s="21" t="s">
        <v>4</v>
      </c>
      <c r="E109" s="22" t="s">
        <v>5</v>
      </c>
      <c r="F109" s="22" t="s">
        <v>6</v>
      </c>
      <c r="G109" s="21" t="s">
        <v>7</v>
      </c>
      <c r="H109" s="23" t="s">
        <v>8</v>
      </c>
      <c r="I109" s="23" t="s">
        <v>9</v>
      </c>
      <c r="J109" s="21" t="s">
        <v>10</v>
      </c>
      <c r="K109" s="21" t="s">
        <v>11</v>
      </c>
      <c r="L109" s="21" t="s">
        <v>12</v>
      </c>
      <c r="M109" s="23" t="s">
        <v>13</v>
      </c>
      <c r="N109" s="12"/>
    </row>
    <row r="110" spans="2:14" ht="15" customHeight="1">
      <c r="B110" s="24">
        <v>2024</v>
      </c>
      <c r="C110" s="18" t="s">
        <v>14</v>
      </c>
      <c r="D110" s="24">
        <v>25</v>
      </c>
      <c r="E110" s="25">
        <v>0.41599999999999998</v>
      </c>
      <c r="F110" s="25">
        <v>0.8</v>
      </c>
      <c r="G110" s="24">
        <v>15</v>
      </c>
      <c r="H110" s="26">
        <v>1.8</v>
      </c>
      <c r="I110" s="26">
        <v>1.1000000000000001</v>
      </c>
      <c r="J110" s="24">
        <v>15</v>
      </c>
      <c r="K110" s="24">
        <v>5</v>
      </c>
      <c r="L110" s="24">
        <v>131</v>
      </c>
      <c r="M110" s="26">
        <f>L110/D110</f>
        <v>5.24</v>
      </c>
      <c r="N110" s="12"/>
    </row>
    <row r="111" spans="2:14" ht="15" customHeight="1">
      <c r="B111" s="27" t="s">
        <v>15</v>
      </c>
      <c r="C111" s="18" t="s">
        <v>23</v>
      </c>
      <c r="D111" s="24">
        <v>64</v>
      </c>
      <c r="E111" s="25">
        <v>0.41</v>
      </c>
      <c r="F111" s="25">
        <v>0.82399999999999995</v>
      </c>
      <c r="G111" s="24">
        <v>37</v>
      </c>
      <c r="H111" s="26">
        <v>1.5</v>
      </c>
      <c r="I111" s="26">
        <v>1</v>
      </c>
      <c r="J111" s="24">
        <v>31</v>
      </c>
      <c r="K111" s="24">
        <v>10</v>
      </c>
      <c r="L111" s="24">
        <v>287</v>
      </c>
      <c r="M111" s="26">
        <f>L111/D111</f>
        <v>4.484375</v>
      </c>
    </row>
    <row r="112" spans="2:14" s="5" customFormat="1" ht="15" customHeight="1">
      <c r="B112" s="15"/>
      <c r="E112" s="16"/>
      <c r="F112" s="16"/>
      <c r="H112" s="17"/>
      <c r="I112" s="17"/>
      <c r="M112" s="17"/>
      <c r="N112" s="17"/>
    </row>
    <row r="113" spans="2:14" ht="15" customHeight="1">
      <c r="B113" s="30" t="s">
        <v>54</v>
      </c>
    </row>
    <row r="114" spans="2:14" ht="15" customHeight="1">
      <c r="B114" s="19" t="s">
        <v>2</v>
      </c>
      <c r="C114" s="20" t="s">
        <v>3</v>
      </c>
      <c r="D114" s="21" t="s">
        <v>4</v>
      </c>
      <c r="E114" s="22" t="s">
        <v>5</v>
      </c>
      <c r="F114" s="22" t="s">
        <v>6</v>
      </c>
      <c r="G114" s="21" t="s">
        <v>7</v>
      </c>
      <c r="H114" s="23" t="s">
        <v>8</v>
      </c>
      <c r="I114" s="23" t="s">
        <v>9</v>
      </c>
      <c r="J114" s="21" t="s">
        <v>10</v>
      </c>
      <c r="K114" s="21" t="s">
        <v>11</v>
      </c>
      <c r="L114" s="21" t="s">
        <v>12</v>
      </c>
      <c r="M114" s="23" t="s">
        <v>13</v>
      </c>
    </row>
    <row r="115" spans="2:14" ht="15" customHeight="1">
      <c r="B115" s="24">
        <v>2024</v>
      </c>
      <c r="C115" s="18" t="s">
        <v>14</v>
      </c>
      <c r="D115" s="24">
        <v>16</v>
      </c>
      <c r="E115" s="25">
        <v>0.26900000000000002</v>
      </c>
      <c r="F115" s="25">
        <v>0.29399999999999998</v>
      </c>
      <c r="G115" s="24">
        <v>0</v>
      </c>
      <c r="H115" s="26">
        <v>1.7</v>
      </c>
      <c r="I115" s="26">
        <v>0.2</v>
      </c>
      <c r="J115" s="24">
        <v>2</v>
      </c>
      <c r="K115" s="24">
        <v>3</v>
      </c>
      <c r="L115" s="24">
        <v>19</v>
      </c>
      <c r="M115" s="26">
        <f>L115/D115</f>
        <v>1.1875</v>
      </c>
    </row>
    <row r="116" spans="2:14" ht="15" customHeight="1">
      <c r="B116" s="27" t="s">
        <v>15</v>
      </c>
      <c r="C116" s="18" t="s">
        <v>38</v>
      </c>
      <c r="D116" s="24">
        <v>37</v>
      </c>
      <c r="E116" s="25">
        <v>0.35299999999999998</v>
      </c>
      <c r="F116" s="25">
        <v>0.35199999999999998</v>
      </c>
      <c r="G116" s="24">
        <v>0</v>
      </c>
      <c r="H116" s="26">
        <v>1.3</v>
      </c>
      <c r="I116" s="26">
        <v>0.2</v>
      </c>
      <c r="J116" s="24">
        <v>7</v>
      </c>
      <c r="K116" s="24">
        <v>12</v>
      </c>
      <c r="L116" s="24">
        <v>75</v>
      </c>
      <c r="M116" s="26">
        <f>L116/D116</f>
        <v>2.0270270270270272</v>
      </c>
    </row>
    <row r="118" spans="2:14" ht="15" customHeight="1">
      <c r="B118" s="30" t="s">
        <v>55</v>
      </c>
    </row>
    <row r="119" spans="2:14" ht="15" customHeight="1">
      <c r="B119" s="19" t="s">
        <v>2</v>
      </c>
      <c r="C119" s="20" t="s">
        <v>3</v>
      </c>
      <c r="D119" s="21" t="s">
        <v>4</v>
      </c>
      <c r="E119" s="22" t="s">
        <v>5</v>
      </c>
      <c r="F119" s="22" t="s">
        <v>6</v>
      </c>
      <c r="G119" s="21" t="s">
        <v>7</v>
      </c>
      <c r="H119" s="23" t="s">
        <v>8</v>
      </c>
      <c r="I119" s="23" t="s">
        <v>9</v>
      </c>
      <c r="J119" s="21" t="s">
        <v>10</v>
      </c>
      <c r="K119" s="21" t="s">
        <v>11</v>
      </c>
      <c r="L119" s="21" t="s">
        <v>12</v>
      </c>
      <c r="M119" s="23" t="s">
        <v>13</v>
      </c>
      <c r="N119" s="8"/>
    </row>
    <row r="120" spans="2:14" ht="15" customHeight="1">
      <c r="B120" s="24">
        <v>2024</v>
      </c>
      <c r="C120" s="18" t="s">
        <v>14</v>
      </c>
      <c r="D120" s="24">
        <v>20</v>
      </c>
      <c r="E120" s="25">
        <v>0.39</v>
      </c>
      <c r="F120" s="25">
        <v>0.78100000000000003</v>
      </c>
      <c r="G120" s="24">
        <v>16</v>
      </c>
      <c r="H120" s="26">
        <v>3.5</v>
      </c>
      <c r="I120" s="26">
        <v>5.8</v>
      </c>
      <c r="J120" s="24">
        <v>32</v>
      </c>
      <c r="K120" s="24">
        <v>5</v>
      </c>
      <c r="L120" s="24">
        <v>211</v>
      </c>
      <c r="M120" s="26">
        <f>L120/D120</f>
        <v>10.55</v>
      </c>
      <c r="N120" s="12"/>
    </row>
    <row r="121" spans="2:14" ht="15" customHeight="1">
      <c r="B121" s="27" t="s">
        <v>15</v>
      </c>
      <c r="C121" s="18" t="s">
        <v>18</v>
      </c>
      <c r="D121" s="24">
        <v>202</v>
      </c>
      <c r="E121" s="25">
        <v>0.39100000000000001</v>
      </c>
      <c r="F121" s="25">
        <v>0.80900000000000005</v>
      </c>
      <c r="G121" s="24">
        <v>86</v>
      </c>
      <c r="H121" s="26">
        <v>2.4</v>
      </c>
      <c r="I121" s="26">
        <v>4.9000000000000004</v>
      </c>
      <c r="J121" s="24">
        <v>311</v>
      </c>
      <c r="K121" s="24">
        <v>31</v>
      </c>
      <c r="L121" s="24">
        <v>1818</v>
      </c>
      <c r="M121" s="26">
        <f>L121/D121</f>
        <v>9</v>
      </c>
      <c r="N121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101"/>
  <sheetViews>
    <sheetView zoomScale="120" zoomScaleNormal="120" workbookViewId="0">
      <selection activeCell="B58" sqref="B58"/>
    </sheetView>
  </sheetViews>
  <sheetFormatPr defaultColWidth="45" defaultRowHeight="15" customHeight="1"/>
  <cols>
    <col min="1" max="1" width="2.7109375" style="1" customWidth="1"/>
    <col min="2" max="2" width="17.7109375" style="13" bestFit="1" customWidth="1"/>
    <col min="3" max="3" width="19.140625" style="1" bestFit="1" customWidth="1"/>
    <col min="4" max="4" width="4.28515625" style="1" customWidth="1"/>
    <col min="5" max="5" width="7.42578125" style="2" bestFit="1" customWidth="1"/>
    <col min="6" max="6" width="4.85546875" style="2" bestFit="1" customWidth="1"/>
    <col min="7" max="7" width="4.42578125" style="1" bestFit="1" customWidth="1"/>
    <col min="8" max="8" width="4.140625" style="3" bestFit="1" customWidth="1"/>
    <col min="9" max="9" width="4.28515625" style="3" bestFit="1" customWidth="1"/>
    <col min="10" max="10" width="5.140625" style="1" customWidth="1"/>
    <col min="11" max="11" width="4.42578125" style="1" bestFit="1" customWidth="1"/>
    <col min="12" max="12" width="5.28515625" style="1" bestFit="1" customWidth="1"/>
    <col min="13" max="13" width="4.42578125" style="3" bestFit="1" customWidth="1"/>
    <col min="14" max="14" width="4.42578125" style="3" customWidth="1"/>
    <col min="15" max="16384" width="45" style="1"/>
  </cols>
  <sheetData>
    <row r="1" spans="2:14" ht="15" customHeight="1">
      <c r="B1" s="33" t="s">
        <v>56</v>
      </c>
    </row>
    <row r="3" spans="2:14" ht="15" customHeight="1">
      <c r="B3" s="30" t="s">
        <v>57</v>
      </c>
    </row>
    <row r="4" spans="2:14" ht="15" customHeight="1">
      <c r="B4" s="19" t="s">
        <v>2</v>
      </c>
      <c r="C4" s="20" t="s">
        <v>3</v>
      </c>
      <c r="D4" s="21" t="s">
        <v>4</v>
      </c>
      <c r="E4" s="22" t="s">
        <v>5</v>
      </c>
      <c r="F4" s="22" t="s">
        <v>6</v>
      </c>
      <c r="G4" s="21" t="s">
        <v>7</v>
      </c>
      <c r="H4" s="23" t="s">
        <v>8</v>
      </c>
      <c r="I4" s="23" t="s">
        <v>9</v>
      </c>
      <c r="J4" s="21" t="s">
        <v>10</v>
      </c>
      <c r="K4" s="21" t="s">
        <v>11</v>
      </c>
      <c r="L4" s="21" t="s">
        <v>12</v>
      </c>
      <c r="M4" s="23" t="s">
        <v>13</v>
      </c>
      <c r="N4" s="8"/>
    </row>
    <row r="5" spans="2:14" ht="15" customHeight="1">
      <c r="B5" s="24">
        <v>2022</v>
      </c>
      <c r="C5" s="18" t="s">
        <v>58</v>
      </c>
      <c r="D5" s="24">
        <v>34</v>
      </c>
      <c r="E5" s="25">
        <v>0.42799999999999999</v>
      </c>
      <c r="F5" s="25">
        <v>0.95</v>
      </c>
      <c r="G5" s="24">
        <v>50</v>
      </c>
      <c r="H5" s="26">
        <v>2.5</v>
      </c>
      <c r="I5" s="26">
        <v>2.9</v>
      </c>
      <c r="J5" s="24">
        <v>24</v>
      </c>
      <c r="K5" s="24">
        <v>7</v>
      </c>
      <c r="L5" s="24">
        <v>386</v>
      </c>
      <c r="M5" s="26">
        <f>L5/D5</f>
        <v>11.352941176470589</v>
      </c>
      <c r="N5" s="12"/>
    </row>
    <row r="6" spans="2:14" ht="15" customHeight="1">
      <c r="B6" s="27" t="s">
        <v>15</v>
      </c>
      <c r="C6" s="18" t="s">
        <v>59</v>
      </c>
      <c r="D6" s="24">
        <v>347</v>
      </c>
      <c r="E6" s="25">
        <v>0.45200000000000001</v>
      </c>
      <c r="F6" s="25">
        <v>0.89300000000000002</v>
      </c>
      <c r="G6" s="24">
        <v>510</v>
      </c>
      <c r="H6" s="26">
        <v>2</v>
      </c>
      <c r="I6" s="26">
        <v>2</v>
      </c>
      <c r="J6" s="24">
        <v>198</v>
      </c>
      <c r="K6" s="24">
        <v>89</v>
      </c>
      <c r="L6" s="24">
        <v>3786</v>
      </c>
      <c r="M6" s="26">
        <f>L6/D6</f>
        <v>10.910662824207494</v>
      </c>
      <c r="N6" s="12"/>
    </row>
    <row r="7" spans="2:14" ht="15" customHeight="1">
      <c r="D7" s="14"/>
    </row>
    <row r="8" spans="2:14" ht="15" customHeight="1">
      <c r="B8" s="30" t="s">
        <v>60</v>
      </c>
    </row>
    <row r="9" spans="2:14" ht="15" customHeight="1">
      <c r="B9" s="19" t="s">
        <v>2</v>
      </c>
      <c r="C9" s="20" t="s">
        <v>3</v>
      </c>
      <c r="D9" s="21" t="s">
        <v>4</v>
      </c>
      <c r="E9" s="22" t="s">
        <v>5</v>
      </c>
      <c r="F9" s="22" t="s">
        <v>6</v>
      </c>
      <c r="G9" s="21" t="s">
        <v>7</v>
      </c>
      <c r="H9" s="23" t="s">
        <v>8</v>
      </c>
      <c r="I9" s="23" t="s">
        <v>9</v>
      </c>
      <c r="J9" s="21" t="s">
        <v>10</v>
      </c>
      <c r="K9" s="21" t="s">
        <v>11</v>
      </c>
      <c r="L9" s="21" t="s">
        <v>12</v>
      </c>
      <c r="M9" s="23" t="s">
        <v>13</v>
      </c>
      <c r="N9" s="8"/>
    </row>
    <row r="10" spans="2:14" ht="15" customHeight="1">
      <c r="B10" s="24">
        <v>2019</v>
      </c>
      <c r="C10" s="18" t="s">
        <v>58</v>
      </c>
      <c r="D10" s="24">
        <v>13</v>
      </c>
      <c r="E10" s="25">
        <v>0.33300000000000002</v>
      </c>
      <c r="F10" s="25">
        <v>0.5</v>
      </c>
      <c r="G10" s="24">
        <v>1</v>
      </c>
      <c r="H10" s="26">
        <v>0.3</v>
      </c>
      <c r="I10" s="26">
        <v>0.8</v>
      </c>
      <c r="J10" s="24">
        <v>2</v>
      </c>
      <c r="K10" s="24">
        <v>0</v>
      </c>
      <c r="L10" s="24">
        <v>17</v>
      </c>
      <c r="M10" s="26">
        <f>L10/D10</f>
        <v>1.3076923076923077</v>
      </c>
      <c r="N10" s="12"/>
    </row>
    <row r="11" spans="2:14" ht="15" customHeight="1">
      <c r="B11" s="27" t="s">
        <v>15</v>
      </c>
      <c r="C11" s="18" t="s">
        <v>33</v>
      </c>
      <c r="D11" s="24">
        <v>131</v>
      </c>
      <c r="E11" s="25">
        <v>0.38600000000000001</v>
      </c>
      <c r="F11" s="25">
        <v>0.78800000000000003</v>
      </c>
      <c r="G11" s="24">
        <v>59</v>
      </c>
      <c r="H11" s="26">
        <v>1.4</v>
      </c>
      <c r="I11" s="26">
        <v>3.1</v>
      </c>
      <c r="J11" s="24">
        <v>93</v>
      </c>
      <c r="K11" s="24">
        <v>20</v>
      </c>
      <c r="L11" s="24">
        <v>814</v>
      </c>
      <c r="M11" s="26">
        <f>L11/D11</f>
        <v>6.2137404580152671</v>
      </c>
      <c r="N11" s="12"/>
    </row>
    <row r="12" spans="2:14" ht="15" customHeight="1">
      <c r="B12" s="29"/>
    </row>
    <row r="13" spans="2:14" ht="15" customHeight="1">
      <c r="B13" s="30" t="s">
        <v>61</v>
      </c>
    </row>
    <row r="14" spans="2:14" ht="15" customHeight="1">
      <c r="B14" s="19" t="s">
        <v>2</v>
      </c>
      <c r="C14" s="20" t="s">
        <v>3</v>
      </c>
      <c r="D14" s="21" t="s">
        <v>4</v>
      </c>
      <c r="E14" s="22" t="s">
        <v>5</v>
      </c>
      <c r="F14" s="22" t="s">
        <v>6</v>
      </c>
      <c r="G14" s="21" t="s">
        <v>7</v>
      </c>
      <c r="H14" s="23" t="s">
        <v>8</v>
      </c>
      <c r="I14" s="23" t="s">
        <v>9</v>
      </c>
      <c r="J14" s="21" t="s">
        <v>10</v>
      </c>
      <c r="K14" s="21" t="s">
        <v>11</v>
      </c>
      <c r="L14" s="21" t="s">
        <v>12</v>
      </c>
      <c r="M14" s="23" t="s">
        <v>13</v>
      </c>
      <c r="N14" s="8"/>
    </row>
    <row r="15" spans="2:14" ht="15" customHeight="1">
      <c r="B15" s="24">
        <v>2019</v>
      </c>
      <c r="C15" s="18" t="s">
        <v>58</v>
      </c>
      <c r="D15" s="24">
        <v>3</v>
      </c>
      <c r="E15" s="25">
        <v>0.75</v>
      </c>
      <c r="F15" s="25">
        <v>0.75</v>
      </c>
      <c r="G15" s="24">
        <v>0</v>
      </c>
      <c r="H15" s="26">
        <v>2.2999999999999998</v>
      </c>
      <c r="I15" s="26">
        <v>0.3</v>
      </c>
      <c r="J15" s="24">
        <v>0</v>
      </c>
      <c r="K15" s="24">
        <v>0</v>
      </c>
      <c r="L15" s="24">
        <v>9</v>
      </c>
      <c r="M15" s="26">
        <f>L15/D15</f>
        <v>3</v>
      </c>
      <c r="N15" s="12"/>
    </row>
    <row r="16" spans="2:14" ht="15" customHeight="1">
      <c r="B16" s="27" t="s">
        <v>15</v>
      </c>
      <c r="C16" s="18" t="s">
        <v>18</v>
      </c>
      <c r="D16" s="24">
        <v>187</v>
      </c>
      <c r="E16" s="25">
        <v>0.50600000000000001</v>
      </c>
      <c r="F16" s="25">
        <v>0.76900000000000002</v>
      </c>
      <c r="G16" s="24">
        <v>0</v>
      </c>
      <c r="H16" s="26">
        <v>3</v>
      </c>
      <c r="I16" s="26">
        <v>0.3</v>
      </c>
      <c r="J16" s="24">
        <v>44</v>
      </c>
      <c r="K16" s="24">
        <v>88</v>
      </c>
      <c r="L16" s="24">
        <v>781</v>
      </c>
      <c r="M16" s="26">
        <f>L16/D16</f>
        <v>4.1764705882352944</v>
      </c>
      <c r="N16" s="12"/>
    </row>
    <row r="17" spans="2:14" ht="15" customHeight="1">
      <c r="B17" s="4"/>
      <c r="C17" s="5"/>
      <c r="D17" s="6"/>
      <c r="E17" s="7"/>
      <c r="F17" s="7"/>
      <c r="G17" s="6"/>
      <c r="H17" s="8"/>
      <c r="I17" s="8"/>
      <c r="J17" s="6"/>
      <c r="K17" s="6"/>
      <c r="L17" s="6"/>
      <c r="M17" s="8"/>
      <c r="N17" s="8"/>
    </row>
    <row r="18" spans="2:14" ht="15" customHeight="1">
      <c r="B18" s="30" t="s">
        <v>62</v>
      </c>
    </row>
    <row r="19" spans="2:14" ht="15" customHeight="1">
      <c r="B19" s="19" t="s">
        <v>2</v>
      </c>
      <c r="C19" s="20" t="s">
        <v>3</v>
      </c>
      <c r="D19" s="21" t="s">
        <v>4</v>
      </c>
      <c r="E19" s="22" t="s">
        <v>5</v>
      </c>
      <c r="F19" s="22" t="s">
        <v>6</v>
      </c>
      <c r="G19" s="21" t="s">
        <v>7</v>
      </c>
      <c r="H19" s="23" t="s">
        <v>8</v>
      </c>
      <c r="I19" s="23" t="s">
        <v>9</v>
      </c>
      <c r="J19" s="21" t="s">
        <v>10</v>
      </c>
      <c r="K19" s="21" t="s">
        <v>11</v>
      </c>
      <c r="L19" s="21" t="s">
        <v>12</v>
      </c>
      <c r="M19" s="23" t="s">
        <v>13</v>
      </c>
      <c r="N19" s="8"/>
    </row>
    <row r="20" spans="2:14" ht="15" customHeight="1">
      <c r="B20" s="24">
        <v>2021</v>
      </c>
      <c r="C20" s="18" t="s">
        <v>58</v>
      </c>
      <c r="D20" s="24">
        <v>30</v>
      </c>
      <c r="E20" s="25">
        <v>0.52900000000000003</v>
      </c>
      <c r="F20" s="25">
        <v>0.79400000000000004</v>
      </c>
      <c r="G20" s="24">
        <v>0</v>
      </c>
      <c r="H20" s="26">
        <v>4.4000000000000004</v>
      </c>
      <c r="I20" s="26">
        <v>0.8</v>
      </c>
      <c r="J20" s="24">
        <v>20</v>
      </c>
      <c r="K20" s="24">
        <v>20</v>
      </c>
      <c r="L20" s="24">
        <v>173</v>
      </c>
      <c r="M20" s="26">
        <f>L20/D20</f>
        <v>5.7666666666666666</v>
      </c>
      <c r="N20" s="12"/>
    </row>
    <row r="21" spans="2:14" ht="15" customHeight="1">
      <c r="B21" s="27" t="s">
        <v>15</v>
      </c>
      <c r="C21" s="18" t="s">
        <v>38</v>
      </c>
      <c r="D21" s="24">
        <v>52</v>
      </c>
      <c r="E21" s="25">
        <v>0.58699999999999997</v>
      </c>
      <c r="F21" s="25">
        <v>0.78300000000000003</v>
      </c>
      <c r="G21" s="24">
        <v>0</v>
      </c>
      <c r="H21" s="26">
        <v>4.2</v>
      </c>
      <c r="I21" s="26">
        <v>0.6</v>
      </c>
      <c r="J21" s="24">
        <v>30</v>
      </c>
      <c r="K21" s="24">
        <v>28</v>
      </c>
      <c r="L21" s="24">
        <v>298</v>
      </c>
      <c r="M21" s="26">
        <f>L21/D21</f>
        <v>5.7307692307692308</v>
      </c>
      <c r="N21" s="12"/>
    </row>
    <row r="23" spans="2:14" s="28" customFormat="1" ht="15" customHeight="1">
      <c r="B23" s="30" t="s">
        <v>63</v>
      </c>
      <c r="C23" s="1"/>
      <c r="D23" s="1"/>
      <c r="E23" s="2"/>
      <c r="F23" s="2"/>
      <c r="G23" s="1"/>
      <c r="H23" s="3"/>
      <c r="I23" s="3"/>
      <c r="J23" s="1"/>
      <c r="K23" s="1"/>
      <c r="L23" s="1"/>
      <c r="M23" s="3"/>
      <c r="N23" s="12"/>
    </row>
    <row r="24" spans="2:14" ht="15" customHeight="1">
      <c r="B24" s="19" t="s">
        <v>2</v>
      </c>
      <c r="C24" s="20" t="s">
        <v>3</v>
      </c>
      <c r="D24" s="21" t="s">
        <v>4</v>
      </c>
      <c r="E24" s="22" t="s">
        <v>5</v>
      </c>
      <c r="F24" s="22" t="s">
        <v>6</v>
      </c>
      <c r="G24" s="21" t="s">
        <v>7</v>
      </c>
      <c r="H24" s="23" t="s">
        <v>8</v>
      </c>
      <c r="I24" s="23" t="s">
        <v>9</v>
      </c>
      <c r="J24" s="21" t="s">
        <v>10</v>
      </c>
      <c r="K24" s="21" t="s">
        <v>11</v>
      </c>
      <c r="L24" s="21" t="s">
        <v>12</v>
      </c>
      <c r="M24" s="23" t="s">
        <v>13</v>
      </c>
      <c r="N24" s="12"/>
    </row>
    <row r="25" spans="2:14" ht="15" customHeight="1">
      <c r="B25" s="24">
        <v>2020</v>
      </c>
      <c r="C25" s="18" t="s">
        <v>44</v>
      </c>
      <c r="D25" s="24">
        <v>22</v>
      </c>
      <c r="E25" s="25">
        <v>0.45500000000000002</v>
      </c>
      <c r="F25" s="25">
        <v>0.73299999999999998</v>
      </c>
      <c r="G25" s="24">
        <v>44</v>
      </c>
      <c r="H25" s="26">
        <v>4.5</v>
      </c>
      <c r="I25" s="26">
        <v>5.8</v>
      </c>
      <c r="J25" s="24">
        <v>25</v>
      </c>
      <c r="K25" s="24">
        <v>9</v>
      </c>
      <c r="L25" s="24">
        <v>188</v>
      </c>
      <c r="M25" s="26">
        <f>L25/D25</f>
        <v>8.545454545454545</v>
      </c>
      <c r="N25" s="12"/>
    </row>
    <row r="26" spans="2:14" ht="15" customHeight="1">
      <c r="B26" s="27" t="s">
        <v>15</v>
      </c>
      <c r="C26" s="18" t="s">
        <v>40</v>
      </c>
      <c r="D26" s="24">
        <v>22</v>
      </c>
      <c r="E26" s="25">
        <v>0.45500000000000002</v>
      </c>
      <c r="F26" s="25">
        <v>0.73299999999999998</v>
      </c>
      <c r="G26" s="24">
        <v>44</v>
      </c>
      <c r="H26" s="26">
        <v>4.5</v>
      </c>
      <c r="I26" s="26">
        <v>5.8</v>
      </c>
      <c r="J26" s="24">
        <v>25</v>
      </c>
      <c r="K26" s="24">
        <v>9</v>
      </c>
      <c r="L26" s="24">
        <v>188</v>
      </c>
      <c r="M26" s="26">
        <f>L26/D26</f>
        <v>8.545454545454545</v>
      </c>
    </row>
    <row r="27" spans="2:14" s="5" customFormat="1" ht="15" customHeight="1">
      <c r="B27" s="15"/>
      <c r="E27" s="16"/>
      <c r="F27" s="16"/>
      <c r="H27" s="17"/>
      <c r="I27" s="17"/>
      <c r="M27" s="17"/>
      <c r="N27" s="17"/>
    </row>
    <row r="28" spans="2:14" ht="15" customHeight="1">
      <c r="B28" s="30" t="s">
        <v>64</v>
      </c>
    </row>
    <row r="29" spans="2:14" ht="15" customHeight="1">
      <c r="B29" s="19" t="s">
        <v>2</v>
      </c>
      <c r="C29" s="20" t="s">
        <v>3</v>
      </c>
      <c r="D29" s="21" t="s">
        <v>4</v>
      </c>
      <c r="E29" s="22" t="s">
        <v>5</v>
      </c>
      <c r="F29" s="22" t="s">
        <v>6</v>
      </c>
      <c r="G29" s="21" t="s">
        <v>7</v>
      </c>
      <c r="H29" s="23" t="s">
        <v>8</v>
      </c>
      <c r="I29" s="23" t="s">
        <v>9</v>
      </c>
      <c r="J29" s="21" t="s">
        <v>10</v>
      </c>
      <c r="K29" s="21" t="s">
        <v>11</v>
      </c>
      <c r="L29" s="21" t="s">
        <v>12</v>
      </c>
      <c r="M29" s="23" t="s">
        <v>13</v>
      </c>
      <c r="N29" s="8"/>
    </row>
    <row r="30" spans="2:14" ht="15" customHeight="1">
      <c r="B30" s="24">
        <v>2021</v>
      </c>
      <c r="C30" s="18" t="s">
        <v>14</v>
      </c>
      <c r="D30" s="24">
        <v>24</v>
      </c>
      <c r="E30" s="25">
        <v>0.42899999999999999</v>
      </c>
      <c r="F30" s="25">
        <v>0.46200000000000002</v>
      </c>
      <c r="G30" s="24">
        <v>29</v>
      </c>
      <c r="H30" s="26">
        <v>3.8</v>
      </c>
      <c r="I30" s="26">
        <v>1.5</v>
      </c>
      <c r="J30" s="24">
        <v>28</v>
      </c>
      <c r="K30" s="24">
        <v>9</v>
      </c>
      <c r="L30" s="24">
        <v>211</v>
      </c>
      <c r="M30" s="26">
        <f>L30/D30</f>
        <v>8.7916666666666661</v>
      </c>
      <c r="N30" s="12"/>
    </row>
    <row r="31" spans="2:14" ht="15" customHeight="1">
      <c r="B31" s="27" t="s">
        <v>15</v>
      </c>
      <c r="C31" s="18" t="s">
        <v>38</v>
      </c>
      <c r="D31" s="24">
        <v>39</v>
      </c>
      <c r="E31" s="25">
        <v>0.39600000000000002</v>
      </c>
      <c r="F31" s="25">
        <v>0.5</v>
      </c>
      <c r="G31" s="24">
        <v>35</v>
      </c>
      <c r="H31" s="26">
        <v>2.8</v>
      </c>
      <c r="I31" s="26">
        <v>1.1000000000000001</v>
      </c>
      <c r="J31" s="24">
        <v>34</v>
      </c>
      <c r="K31" s="24">
        <v>11</v>
      </c>
      <c r="L31" s="24">
        <v>252</v>
      </c>
      <c r="M31" s="26">
        <f>L31/D31</f>
        <v>6.4615384615384617</v>
      </c>
      <c r="N31" s="12"/>
    </row>
    <row r="32" spans="2:14" ht="15" customHeight="1">
      <c r="B32" s="9"/>
      <c r="D32" s="10"/>
      <c r="E32" s="11"/>
      <c r="F32" s="11"/>
      <c r="G32" s="10"/>
      <c r="H32" s="12"/>
      <c r="I32" s="12"/>
      <c r="J32" s="10"/>
      <c r="K32" s="10"/>
      <c r="L32" s="10"/>
      <c r="M32" s="12"/>
      <c r="N32" s="12"/>
    </row>
    <row r="33" spans="2:14" ht="15" customHeight="1">
      <c r="B33" s="30" t="s">
        <v>65</v>
      </c>
    </row>
    <row r="34" spans="2:14" ht="15" customHeight="1">
      <c r="B34" s="19" t="s">
        <v>2</v>
      </c>
      <c r="C34" s="20" t="s">
        <v>3</v>
      </c>
      <c r="D34" s="21" t="s">
        <v>4</v>
      </c>
      <c r="E34" s="22" t="s">
        <v>5</v>
      </c>
      <c r="F34" s="22" t="s">
        <v>6</v>
      </c>
      <c r="G34" s="21" t="s">
        <v>7</v>
      </c>
      <c r="H34" s="23" t="s">
        <v>8</v>
      </c>
      <c r="I34" s="23" t="s">
        <v>9</v>
      </c>
      <c r="J34" s="21" t="s">
        <v>10</v>
      </c>
      <c r="K34" s="21" t="s">
        <v>11</v>
      </c>
      <c r="L34" s="21" t="s">
        <v>12</v>
      </c>
      <c r="M34" s="23" t="s">
        <v>13</v>
      </c>
      <c r="N34" s="8"/>
    </row>
    <row r="35" spans="2:14" ht="15" customHeight="1">
      <c r="B35" s="24">
        <v>2020</v>
      </c>
      <c r="C35" s="18" t="s">
        <v>14</v>
      </c>
      <c r="D35" s="24">
        <v>2</v>
      </c>
      <c r="E35" s="25">
        <v>0</v>
      </c>
      <c r="F35" s="25">
        <v>0</v>
      </c>
      <c r="G35" s="24">
        <v>0</v>
      </c>
      <c r="H35" s="26">
        <v>0</v>
      </c>
      <c r="I35" s="26">
        <v>0</v>
      </c>
      <c r="J35" s="24">
        <v>0</v>
      </c>
      <c r="K35" s="24">
        <v>0</v>
      </c>
      <c r="L35" s="24">
        <v>0</v>
      </c>
      <c r="M35" s="26">
        <f>L35/D35</f>
        <v>0</v>
      </c>
      <c r="N35" s="12"/>
    </row>
    <row r="36" spans="2:14" ht="15" customHeight="1">
      <c r="B36" s="27" t="s">
        <v>15</v>
      </c>
      <c r="C36" s="18" t="s">
        <v>31</v>
      </c>
      <c r="D36" s="24">
        <v>95</v>
      </c>
      <c r="E36" s="25">
        <v>0.35299999999999998</v>
      </c>
      <c r="F36" s="25">
        <v>0.752</v>
      </c>
      <c r="G36" s="24">
        <v>41</v>
      </c>
      <c r="H36" s="26">
        <v>1.8</v>
      </c>
      <c r="I36" s="26">
        <v>1.5</v>
      </c>
      <c r="J36" s="24">
        <v>43</v>
      </c>
      <c r="K36" s="24">
        <v>10</v>
      </c>
      <c r="L36" s="24">
        <v>532</v>
      </c>
      <c r="M36" s="26">
        <f>L36/D36</f>
        <v>5.6</v>
      </c>
      <c r="N36" s="12"/>
    </row>
    <row r="37" spans="2:14" ht="15" customHeight="1">
      <c r="B37" s="4"/>
      <c r="C37" s="5"/>
      <c r="D37" s="6"/>
      <c r="E37" s="7"/>
      <c r="F37" s="7"/>
      <c r="G37" s="6"/>
      <c r="H37" s="8"/>
      <c r="I37" s="8"/>
      <c r="J37" s="6"/>
      <c r="K37" s="6"/>
      <c r="L37" s="6"/>
      <c r="M37" s="8"/>
      <c r="N37" s="8"/>
    </row>
    <row r="38" spans="2:14" ht="15" customHeight="1">
      <c r="B38" s="30" t="s">
        <v>66</v>
      </c>
    </row>
    <row r="39" spans="2:14" ht="15" customHeight="1">
      <c r="B39" s="19" t="s">
        <v>2</v>
      </c>
      <c r="C39" s="20" t="s">
        <v>3</v>
      </c>
      <c r="D39" s="21" t="s">
        <v>4</v>
      </c>
      <c r="E39" s="22" t="s">
        <v>5</v>
      </c>
      <c r="F39" s="22" t="s">
        <v>6</v>
      </c>
      <c r="G39" s="21" t="s">
        <v>7</v>
      </c>
      <c r="H39" s="23" t="s">
        <v>8</v>
      </c>
      <c r="I39" s="23" t="s">
        <v>9</v>
      </c>
      <c r="J39" s="21" t="s">
        <v>10</v>
      </c>
      <c r="K39" s="21" t="s">
        <v>11</v>
      </c>
      <c r="L39" s="21" t="s">
        <v>12</v>
      </c>
      <c r="M39" s="23" t="s">
        <v>13</v>
      </c>
      <c r="N39" s="8"/>
    </row>
    <row r="40" spans="2:14" ht="15" customHeight="1">
      <c r="B40" s="24">
        <v>2024</v>
      </c>
      <c r="C40" s="18" t="s">
        <v>58</v>
      </c>
      <c r="D40" s="24">
        <v>39</v>
      </c>
      <c r="E40" s="25">
        <v>0.377</v>
      </c>
      <c r="F40" s="25">
        <v>0.96</v>
      </c>
      <c r="G40" s="24">
        <v>41</v>
      </c>
      <c r="H40" s="26">
        <v>1.1000000000000001</v>
      </c>
      <c r="I40" s="26">
        <v>2.4</v>
      </c>
      <c r="J40" s="24">
        <v>26</v>
      </c>
      <c r="K40" s="24">
        <v>5</v>
      </c>
      <c r="L40" s="24">
        <v>279</v>
      </c>
      <c r="M40" s="26">
        <f>L40/D40</f>
        <v>7.1538461538461542</v>
      </c>
      <c r="N40" s="12"/>
    </row>
    <row r="41" spans="2:14" ht="15" customHeight="1">
      <c r="B41" s="27" t="s">
        <v>15</v>
      </c>
      <c r="C41" s="18" t="s">
        <v>31</v>
      </c>
      <c r="D41" s="24">
        <v>140</v>
      </c>
      <c r="E41" s="25">
        <v>0.36699999999999999</v>
      </c>
      <c r="F41" s="25">
        <v>0.88900000000000001</v>
      </c>
      <c r="G41" s="24">
        <v>123</v>
      </c>
      <c r="H41" s="26">
        <v>0.9</v>
      </c>
      <c r="I41" s="26">
        <v>2</v>
      </c>
      <c r="J41" s="24">
        <v>68</v>
      </c>
      <c r="K41" s="24">
        <v>13</v>
      </c>
      <c r="L41" s="24">
        <v>866</v>
      </c>
      <c r="M41" s="26">
        <f>L41/D41</f>
        <v>6.1857142857142859</v>
      </c>
      <c r="N41" s="12"/>
    </row>
    <row r="42" spans="2:14" ht="15" customHeight="1">
      <c r="B42" s="4"/>
      <c r="C42" s="5"/>
      <c r="D42" s="6"/>
      <c r="E42" s="7"/>
      <c r="F42" s="7"/>
      <c r="G42" s="6"/>
      <c r="H42" s="8"/>
      <c r="I42" s="8"/>
      <c r="J42" s="6"/>
      <c r="K42" s="6"/>
      <c r="L42" s="6"/>
      <c r="M42" s="8"/>
      <c r="N42" s="8"/>
    </row>
    <row r="43" spans="2:14" ht="15" customHeight="1">
      <c r="B43" s="30" t="s">
        <v>67</v>
      </c>
    </row>
    <row r="44" spans="2:14" ht="15" customHeight="1">
      <c r="B44" s="19" t="s">
        <v>2</v>
      </c>
      <c r="C44" s="20" t="s">
        <v>3</v>
      </c>
      <c r="D44" s="21" t="s">
        <v>4</v>
      </c>
      <c r="E44" s="22" t="s">
        <v>5</v>
      </c>
      <c r="F44" s="22" t="s">
        <v>6</v>
      </c>
      <c r="G44" s="21" t="s">
        <v>7</v>
      </c>
      <c r="H44" s="23" t="s">
        <v>8</v>
      </c>
      <c r="I44" s="23" t="s">
        <v>9</v>
      </c>
      <c r="J44" s="21" t="s">
        <v>10</v>
      </c>
      <c r="K44" s="21" t="s">
        <v>11</v>
      </c>
      <c r="L44" s="21" t="s">
        <v>12</v>
      </c>
      <c r="M44" s="23" t="s">
        <v>13</v>
      </c>
      <c r="N44" s="8"/>
    </row>
    <row r="45" spans="2:14" ht="15" customHeight="1">
      <c r="B45" s="24">
        <v>2024</v>
      </c>
      <c r="C45" s="18" t="s">
        <v>58</v>
      </c>
      <c r="D45" s="24">
        <v>9</v>
      </c>
      <c r="E45" s="25">
        <v>0.48699999999999999</v>
      </c>
      <c r="F45" s="25">
        <v>0.66700000000000004</v>
      </c>
      <c r="G45" s="24">
        <v>0</v>
      </c>
      <c r="H45" s="26">
        <v>7</v>
      </c>
      <c r="I45" s="26">
        <v>1.6</v>
      </c>
      <c r="J45" s="24">
        <v>15</v>
      </c>
      <c r="K45" s="24">
        <v>15</v>
      </c>
      <c r="L45" s="24">
        <v>90</v>
      </c>
      <c r="M45" s="26">
        <f>L45/D45</f>
        <v>10</v>
      </c>
      <c r="N45" s="12"/>
    </row>
    <row r="46" spans="2:14" ht="15" customHeight="1">
      <c r="B46" s="27" t="s">
        <v>15</v>
      </c>
      <c r="C46" s="18" t="s">
        <v>20</v>
      </c>
      <c r="D46" s="24">
        <v>287</v>
      </c>
      <c r="E46" s="25">
        <v>0.48899999999999999</v>
      </c>
      <c r="F46" s="25">
        <v>0.64800000000000002</v>
      </c>
      <c r="G46" s="24">
        <v>0</v>
      </c>
      <c r="H46" s="26">
        <v>5.9</v>
      </c>
      <c r="I46" s="26">
        <v>1.3</v>
      </c>
      <c r="J46" s="24">
        <v>254</v>
      </c>
      <c r="K46" s="24">
        <v>444</v>
      </c>
      <c r="L46" s="24">
        <v>2477</v>
      </c>
      <c r="M46" s="26">
        <f>L46/D46</f>
        <v>8.6306620209059233</v>
      </c>
      <c r="N46" s="12"/>
    </row>
    <row r="47" spans="2:14" s="28" customFormat="1" ht="15" customHeight="1">
      <c r="B47" s="9"/>
      <c r="C47" s="1"/>
      <c r="D47" s="10"/>
      <c r="E47" s="11"/>
      <c r="F47" s="11"/>
      <c r="G47" s="10"/>
      <c r="H47" s="12"/>
      <c r="I47" s="12"/>
      <c r="J47" s="10"/>
      <c r="K47" s="10"/>
      <c r="L47" s="10"/>
      <c r="M47" s="12"/>
      <c r="N47" s="12"/>
    </row>
    <row r="48" spans="2:14" ht="15" customHeight="1">
      <c r="B48" s="30" t="s">
        <v>68</v>
      </c>
      <c r="N48" s="8"/>
    </row>
    <row r="49" spans="2:14" ht="15" customHeight="1">
      <c r="B49" s="19" t="s">
        <v>2</v>
      </c>
      <c r="C49" s="20" t="s">
        <v>3</v>
      </c>
      <c r="D49" s="21" t="s">
        <v>4</v>
      </c>
      <c r="E49" s="22" t="s">
        <v>5</v>
      </c>
      <c r="F49" s="22" t="s">
        <v>6</v>
      </c>
      <c r="G49" s="21" t="s">
        <v>7</v>
      </c>
      <c r="H49" s="23" t="s">
        <v>8</v>
      </c>
      <c r="I49" s="23" t="s">
        <v>9</v>
      </c>
      <c r="J49" s="21" t="s">
        <v>10</v>
      </c>
      <c r="K49" s="21" t="s">
        <v>11</v>
      </c>
      <c r="L49" s="21" t="s">
        <v>12</v>
      </c>
      <c r="M49" s="23" t="s">
        <v>13</v>
      </c>
      <c r="N49" s="12"/>
    </row>
    <row r="50" spans="2:14" ht="15" customHeight="1">
      <c r="B50" s="24">
        <v>2022</v>
      </c>
      <c r="C50" s="18" t="s">
        <v>58</v>
      </c>
      <c r="D50" s="24">
        <v>35</v>
      </c>
      <c r="E50" s="25">
        <v>0.54200000000000004</v>
      </c>
      <c r="F50" s="25">
        <v>0.8</v>
      </c>
      <c r="G50" s="24">
        <v>15</v>
      </c>
      <c r="H50" s="26">
        <v>3.3</v>
      </c>
      <c r="I50" s="26">
        <v>1.3</v>
      </c>
      <c r="J50" s="24">
        <v>49</v>
      </c>
      <c r="K50" s="24">
        <v>19</v>
      </c>
      <c r="L50" s="24">
        <v>295</v>
      </c>
      <c r="M50" s="26">
        <f>L50/D50</f>
        <v>8.4285714285714288</v>
      </c>
      <c r="N50" s="12"/>
    </row>
    <row r="51" spans="2:14" ht="15" customHeight="1">
      <c r="B51" s="27" t="s">
        <v>15</v>
      </c>
      <c r="C51" s="18" t="s">
        <v>40</v>
      </c>
      <c r="D51" s="24">
        <v>35</v>
      </c>
      <c r="E51" s="25">
        <v>0.54200000000000004</v>
      </c>
      <c r="F51" s="25">
        <v>0.8</v>
      </c>
      <c r="G51" s="24">
        <v>15</v>
      </c>
      <c r="H51" s="26">
        <v>3.3</v>
      </c>
      <c r="I51" s="26">
        <v>1.3</v>
      </c>
      <c r="J51" s="24">
        <v>49</v>
      </c>
      <c r="K51" s="24">
        <v>19</v>
      </c>
      <c r="L51" s="24">
        <v>295</v>
      </c>
      <c r="M51" s="26">
        <f>L51/D51</f>
        <v>8.4285714285714288</v>
      </c>
      <c r="N51" s="17"/>
    </row>
    <row r="52" spans="2:14" ht="15" customHeight="1">
      <c r="B52" s="15"/>
      <c r="C52" s="5"/>
      <c r="D52" s="5"/>
      <c r="E52" s="16"/>
      <c r="F52" s="16"/>
      <c r="G52" s="5"/>
      <c r="H52" s="17"/>
      <c r="I52" s="17"/>
      <c r="J52" s="5"/>
      <c r="K52" s="5"/>
      <c r="L52" s="17"/>
      <c r="M52" s="17"/>
    </row>
    <row r="53" spans="2:14" ht="15" customHeight="1">
      <c r="B53" s="30" t="s">
        <v>69</v>
      </c>
    </row>
    <row r="54" spans="2:14" ht="15" customHeight="1">
      <c r="B54" s="19" t="s">
        <v>2</v>
      </c>
      <c r="C54" s="20" t="s">
        <v>3</v>
      </c>
      <c r="D54" s="21" t="s">
        <v>4</v>
      </c>
      <c r="E54" s="22" t="s">
        <v>5</v>
      </c>
      <c r="F54" s="22" t="s">
        <v>6</v>
      </c>
      <c r="G54" s="21" t="s">
        <v>7</v>
      </c>
      <c r="H54" s="23" t="s">
        <v>8</v>
      </c>
      <c r="I54" s="23" t="s">
        <v>9</v>
      </c>
      <c r="J54" s="21" t="s">
        <v>10</v>
      </c>
      <c r="K54" s="21" t="s">
        <v>11</v>
      </c>
      <c r="L54" s="21" t="s">
        <v>12</v>
      </c>
      <c r="M54" s="23" t="s">
        <v>13</v>
      </c>
      <c r="N54" s="8"/>
    </row>
    <row r="55" spans="2:14" ht="15" customHeight="1">
      <c r="B55" s="24">
        <v>2024</v>
      </c>
      <c r="C55" s="18" t="s">
        <v>70</v>
      </c>
      <c r="D55" s="24">
        <v>40</v>
      </c>
      <c r="E55" s="25">
        <v>0.41299999999999998</v>
      </c>
      <c r="F55" s="25">
        <v>0.71</v>
      </c>
      <c r="G55" s="24">
        <v>98</v>
      </c>
      <c r="H55" s="26">
        <v>4.4000000000000004</v>
      </c>
      <c r="I55" s="26">
        <v>4.0999999999999996</v>
      </c>
      <c r="J55" s="24">
        <v>45</v>
      </c>
      <c r="K55" s="24">
        <v>17</v>
      </c>
      <c r="L55" s="24">
        <v>575</v>
      </c>
      <c r="M55" s="26">
        <f>L55/D55</f>
        <v>14.375</v>
      </c>
      <c r="N55" s="12"/>
    </row>
    <row r="56" spans="2:14" ht="15" customHeight="1">
      <c r="B56" s="27" t="s">
        <v>15</v>
      </c>
      <c r="C56" s="18" t="s">
        <v>71</v>
      </c>
      <c r="D56" s="24">
        <v>195</v>
      </c>
      <c r="E56" s="25">
        <v>0.41</v>
      </c>
      <c r="F56" s="25">
        <v>0.77600000000000002</v>
      </c>
      <c r="G56" s="24">
        <v>370</v>
      </c>
      <c r="H56" s="26">
        <v>3.4</v>
      </c>
      <c r="I56" s="26">
        <v>3</v>
      </c>
      <c r="J56" s="24">
        <v>178</v>
      </c>
      <c r="K56" s="24">
        <v>67</v>
      </c>
      <c r="L56" s="24">
        <v>2363</v>
      </c>
      <c r="M56" s="26">
        <f>L56/D56</f>
        <v>12.117948717948718</v>
      </c>
      <c r="N56" s="12"/>
    </row>
    <row r="57" spans="2:14" s="28" customFormat="1" ht="15" customHeight="1">
      <c r="B57" s="9"/>
      <c r="C57" s="1"/>
      <c r="D57" s="10"/>
      <c r="E57" s="11"/>
      <c r="F57" s="11"/>
      <c r="G57" s="10"/>
      <c r="H57" s="12"/>
      <c r="I57" s="12"/>
      <c r="J57" s="10"/>
      <c r="K57" s="10"/>
      <c r="L57" s="10"/>
      <c r="M57" s="12"/>
      <c r="N57" s="12"/>
    </row>
    <row r="58" spans="2:14" s="28" customFormat="1" ht="15" customHeight="1">
      <c r="B58" s="30" t="s">
        <v>72</v>
      </c>
      <c r="C58" s="1"/>
      <c r="D58" s="1"/>
      <c r="E58" s="2"/>
      <c r="F58" s="2"/>
      <c r="G58" s="1"/>
      <c r="H58" s="3"/>
      <c r="I58" s="3"/>
      <c r="J58" s="1"/>
      <c r="K58" s="1"/>
      <c r="L58" s="1"/>
      <c r="M58" s="3"/>
      <c r="N58" s="12"/>
    </row>
    <row r="59" spans="2:14" ht="15" customHeight="1">
      <c r="B59" s="19" t="s">
        <v>2</v>
      </c>
      <c r="C59" s="20" t="s">
        <v>3</v>
      </c>
      <c r="D59" s="21" t="s">
        <v>4</v>
      </c>
      <c r="E59" s="22" t="s">
        <v>5</v>
      </c>
      <c r="F59" s="22" t="s">
        <v>6</v>
      </c>
      <c r="G59" s="21" t="s">
        <v>7</v>
      </c>
      <c r="H59" s="23" t="s">
        <v>8</v>
      </c>
      <c r="I59" s="23" t="s">
        <v>9</v>
      </c>
      <c r="J59" s="21" t="s">
        <v>10</v>
      </c>
      <c r="K59" s="21" t="s">
        <v>11</v>
      </c>
      <c r="L59" s="21" t="s">
        <v>12</v>
      </c>
      <c r="M59" s="23" t="s">
        <v>13</v>
      </c>
      <c r="N59" s="12"/>
    </row>
    <row r="60" spans="2:14" ht="15" customHeight="1">
      <c r="B60" s="24">
        <v>2024</v>
      </c>
      <c r="C60" s="18" t="s">
        <v>73</v>
      </c>
      <c r="D60" s="24">
        <v>39</v>
      </c>
      <c r="E60" s="25">
        <v>0.47099999999999997</v>
      </c>
      <c r="F60" s="25">
        <v>0.75</v>
      </c>
      <c r="G60" s="24">
        <v>47</v>
      </c>
      <c r="H60" s="26">
        <v>5.6</v>
      </c>
      <c r="I60" s="26">
        <v>3.2</v>
      </c>
      <c r="J60" s="24">
        <v>53</v>
      </c>
      <c r="K60" s="24">
        <v>57</v>
      </c>
      <c r="L60" s="24">
        <v>395</v>
      </c>
      <c r="M60" s="26">
        <f>L60/D60</f>
        <v>10.128205128205128</v>
      </c>
      <c r="N60" s="12"/>
    </row>
    <row r="61" spans="2:14" ht="15" customHeight="1">
      <c r="B61" s="27" t="s">
        <v>15</v>
      </c>
      <c r="C61" s="18" t="s">
        <v>71</v>
      </c>
      <c r="D61" s="24">
        <v>141</v>
      </c>
      <c r="E61" s="25">
        <v>0.442</v>
      </c>
      <c r="F61" s="25">
        <v>0.69699999999999995</v>
      </c>
      <c r="G61" s="24">
        <v>99</v>
      </c>
      <c r="H61" s="26">
        <v>4.4000000000000004</v>
      </c>
      <c r="I61" s="26">
        <v>1.7</v>
      </c>
      <c r="J61" s="24">
        <v>127</v>
      </c>
      <c r="K61" s="24">
        <v>139</v>
      </c>
      <c r="L61" s="24">
        <v>939</v>
      </c>
      <c r="M61" s="26">
        <f>L61/D61</f>
        <v>6.6595744680851068</v>
      </c>
    </row>
    <row r="62" spans="2:14" s="5" customFormat="1" ht="15" customHeight="1">
      <c r="B62" s="15"/>
      <c r="E62" s="16"/>
      <c r="F62" s="16"/>
      <c r="H62" s="17"/>
      <c r="I62" s="17"/>
      <c r="M62" s="17"/>
      <c r="N62" s="17"/>
    </row>
    <row r="63" spans="2:14" ht="15" customHeight="1">
      <c r="B63" s="30" t="s">
        <v>74</v>
      </c>
    </row>
    <row r="64" spans="2:14" ht="15" customHeight="1">
      <c r="B64" s="19" t="s">
        <v>2</v>
      </c>
      <c r="C64" s="20" t="s">
        <v>3</v>
      </c>
      <c r="D64" s="21" t="s">
        <v>4</v>
      </c>
      <c r="E64" s="22" t="s">
        <v>5</v>
      </c>
      <c r="F64" s="22" t="s">
        <v>6</v>
      </c>
      <c r="G64" s="21" t="s">
        <v>7</v>
      </c>
      <c r="H64" s="23" t="s">
        <v>8</v>
      </c>
      <c r="I64" s="23" t="s">
        <v>9</v>
      </c>
      <c r="J64" s="21" t="s">
        <v>10</v>
      </c>
      <c r="K64" s="21" t="s">
        <v>11</v>
      </c>
      <c r="L64" s="21" t="s">
        <v>12</v>
      </c>
      <c r="M64" s="23" t="s">
        <v>13</v>
      </c>
      <c r="N64" s="8"/>
    </row>
    <row r="65" spans="2:14" ht="15" customHeight="1">
      <c r="B65" s="24">
        <v>2024</v>
      </c>
      <c r="C65" s="18" t="s">
        <v>58</v>
      </c>
      <c r="D65" s="24">
        <v>32</v>
      </c>
      <c r="E65" s="25">
        <v>0.34799999999999998</v>
      </c>
      <c r="F65" s="25">
        <v>0.61099999999999999</v>
      </c>
      <c r="G65" s="24">
        <v>9</v>
      </c>
      <c r="H65" s="26">
        <v>1.4</v>
      </c>
      <c r="I65" s="26">
        <v>1.3</v>
      </c>
      <c r="J65" s="24">
        <v>20</v>
      </c>
      <c r="K65" s="24">
        <v>8</v>
      </c>
      <c r="L65" s="24">
        <v>143</v>
      </c>
      <c r="M65" s="26">
        <f>L65/D65</f>
        <v>4.46875</v>
      </c>
      <c r="N65" s="12"/>
    </row>
    <row r="66" spans="2:14" ht="15" customHeight="1">
      <c r="B66" s="27" t="s">
        <v>15</v>
      </c>
      <c r="C66" s="18" t="s">
        <v>71</v>
      </c>
      <c r="D66" s="24">
        <v>175</v>
      </c>
      <c r="E66" s="25">
        <v>0.39800000000000002</v>
      </c>
      <c r="F66" s="25">
        <v>0.80200000000000005</v>
      </c>
      <c r="G66" s="24">
        <v>147</v>
      </c>
      <c r="H66" s="26">
        <v>3.7</v>
      </c>
      <c r="I66" s="26">
        <v>2.1</v>
      </c>
      <c r="J66" s="24">
        <v>180</v>
      </c>
      <c r="K66" s="24">
        <v>60</v>
      </c>
      <c r="L66" s="24">
        <v>2026</v>
      </c>
      <c r="M66" s="26">
        <f>L66/D66</f>
        <v>11.577142857142857</v>
      </c>
      <c r="N66" s="12"/>
    </row>
    <row r="68" spans="2:14" ht="15" customHeight="1">
      <c r="B68" s="30" t="s">
        <v>75</v>
      </c>
    </row>
    <row r="69" spans="2:14" ht="15" customHeight="1">
      <c r="B69" s="19" t="s">
        <v>2</v>
      </c>
      <c r="C69" s="20" t="s">
        <v>3</v>
      </c>
      <c r="D69" s="21" t="s">
        <v>4</v>
      </c>
      <c r="E69" s="22" t="s">
        <v>5</v>
      </c>
      <c r="F69" s="22" t="s">
        <v>6</v>
      </c>
      <c r="G69" s="21" t="s">
        <v>7</v>
      </c>
      <c r="H69" s="23" t="s">
        <v>8</v>
      </c>
      <c r="I69" s="23" t="s">
        <v>9</v>
      </c>
      <c r="J69" s="21" t="s">
        <v>10</v>
      </c>
      <c r="K69" s="21" t="s">
        <v>11</v>
      </c>
      <c r="L69" s="21" t="s">
        <v>12</v>
      </c>
      <c r="M69" s="23" t="s">
        <v>13</v>
      </c>
      <c r="N69" s="8"/>
    </row>
    <row r="70" spans="2:14" ht="15" customHeight="1">
      <c r="B70" s="24">
        <v>2024</v>
      </c>
      <c r="C70" s="18" t="s">
        <v>58</v>
      </c>
      <c r="D70" s="24">
        <v>36</v>
      </c>
      <c r="E70" s="25">
        <v>0.39900000000000002</v>
      </c>
      <c r="F70" s="25">
        <v>0.82</v>
      </c>
      <c r="G70" s="24">
        <v>3</v>
      </c>
      <c r="H70" s="26">
        <v>3.9</v>
      </c>
      <c r="I70" s="26">
        <v>0.8</v>
      </c>
      <c r="J70" s="24">
        <v>20</v>
      </c>
      <c r="K70" s="24">
        <v>12</v>
      </c>
      <c r="L70" s="24">
        <v>234</v>
      </c>
      <c r="M70" s="26">
        <f>L70/D70</f>
        <v>6.5</v>
      </c>
      <c r="N70" s="12"/>
    </row>
    <row r="71" spans="2:14" ht="15" customHeight="1">
      <c r="B71" s="27" t="s">
        <v>15</v>
      </c>
      <c r="C71" s="18" t="s">
        <v>18</v>
      </c>
      <c r="D71" s="24">
        <v>203</v>
      </c>
      <c r="E71" s="25">
        <v>0.47399999999999998</v>
      </c>
      <c r="F71" s="25">
        <v>0.751</v>
      </c>
      <c r="G71" s="24">
        <v>6</v>
      </c>
      <c r="H71" s="26">
        <v>4.7</v>
      </c>
      <c r="I71" s="26">
        <v>1.1000000000000001</v>
      </c>
      <c r="J71" s="24">
        <v>160</v>
      </c>
      <c r="K71" s="24">
        <v>93</v>
      </c>
      <c r="L71" s="24">
        <v>1665</v>
      </c>
      <c r="M71" s="26">
        <f>L71/D71</f>
        <v>8.2019704433497544</v>
      </c>
      <c r="N71" s="12"/>
    </row>
    <row r="72" spans="2:14" s="28" customFormat="1" ht="15" customHeight="1">
      <c r="B72" s="9"/>
      <c r="C72" s="1"/>
      <c r="D72" s="10"/>
      <c r="E72" s="11"/>
      <c r="F72" s="11"/>
      <c r="G72" s="10"/>
      <c r="H72" s="12"/>
      <c r="I72" s="12"/>
      <c r="J72" s="10"/>
      <c r="K72" s="10"/>
      <c r="L72" s="10"/>
      <c r="M72" s="12"/>
      <c r="N72" s="12"/>
    </row>
    <row r="73" spans="2:14" ht="15" customHeight="1">
      <c r="B73" s="30" t="s">
        <v>76</v>
      </c>
      <c r="N73" s="8"/>
    </row>
    <row r="74" spans="2:14" ht="15" customHeight="1">
      <c r="B74" s="19" t="s">
        <v>2</v>
      </c>
      <c r="C74" s="20" t="s">
        <v>3</v>
      </c>
      <c r="D74" s="21" t="s">
        <v>4</v>
      </c>
      <c r="E74" s="22" t="s">
        <v>5</v>
      </c>
      <c r="F74" s="22" t="s">
        <v>6</v>
      </c>
      <c r="G74" s="21" t="s">
        <v>7</v>
      </c>
      <c r="H74" s="23" t="s">
        <v>8</v>
      </c>
      <c r="I74" s="23" t="s">
        <v>9</v>
      </c>
      <c r="J74" s="21" t="s">
        <v>10</v>
      </c>
      <c r="K74" s="21" t="s">
        <v>11</v>
      </c>
      <c r="L74" s="21" t="s">
        <v>12</v>
      </c>
      <c r="M74" s="23" t="s">
        <v>13</v>
      </c>
      <c r="N74" s="12"/>
    </row>
    <row r="75" spans="2:14" ht="15" customHeight="1">
      <c r="B75" s="24">
        <v>2024</v>
      </c>
      <c r="C75" s="18" t="s">
        <v>58</v>
      </c>
      <c r="D75" s="24">
        <v>34</v>
      </c>
      <c r="E75" s="25">
        <v>0.39100000000000001</v>
      </c>
      <c r="F75" s="25">
        <v>0.73599999999999999</v>
      </c>
      <c r="G75" s="24">
        <v>3</v>
      </c>
      <c r="H75" s="26">
        <v>13.1</v>
      </c>
      <c r="I75" s="26">
        <v>1.9</v>
      </c>
      <c r="J75" s="24">
        <v>44</v>
      </c>
      <c r="K75" s="24">
        <v>16</v>
      </c>
      <c r="L75" s="24">
        <v>462</v>
      </c>
      <c r="M75" s="26">
        <f>L75/D75</f>
        <v>13.588235294117647</v>
      </c>
      <c r="N75" s="12"/>
    </row>
    <row r="76" spans="2:14" ht="15" customHeight="1">
      <c r="B76" s="27" t="s">
        <v>15</v>
      </c>
      <c r="C76" s="18" t="s">
        <v>40</v>
      </c>
      <c r="D76" s="24">
        <v>34</v>
      </c>
      <c r="E76" s="25">
        <v>0.39100000000000001</v>
      </c>
      <c r="F76" s="25">
        <v>0.73599999999999999</v>
      </c>
      <c r="G76" s="24">
        <v>3</v>
      </c>
      <c r="H76" s="26">
        <v>13.1</v>
      </c>
      <c r="I76" s="26">
        <v>1.9</v>
      </c>
      <c r="J76" s="24">
        <v>44</v>
      </c>
      <c r="K76" s="24">
        <v>16</v>
      </c>
      <c r="L76" s="24">
        <v>462</v>
      </c>
      <c r="M76" s="26">
        <f>L76/D76</f>
        <v>13.588235294117647</v>
      </c>
      <c r="N76" s="17"/>
    </row>
    <row r="77" spans="2:14" ht="15" customHeight="1">
      <c r="B77" s="15"/>
      <c r="C77" s="5"/>
      <c r="D77" s="5"/>
      <c r="E77" s="16"/>
      <c r="F77" s="16"/>
      <c r="G77" s="5"/>
      <c r="H77" s="17"/>
      <c r="I77" s="17"/>
      <c r="J77" s="5"/>
      <c r="K77" s="5"/>
      <c r="L77" s="17"/>
      <c r="M77" s="17"/>
    </row>
    <row r="78" spans="2:14" ht="15" customHeight="1">
      <c r="B78" s="30" t="s">
        <v>77</v>
      </c>
    </row>
    <row r="79" spans="2:14" ht="15" customHeight="1">
      <c r="B79" s="19" t="s">
        <v>2</v>
      </c>
      <c r="C79" s="20" t="s">
        <v>3</v>
      </c>
      <c r="D79" s="21" t="s">
        <v>4</v>
      </c>
      <c r="E79" s="22" t="s">
        <v>5</v>
      </c>
      <c r="F79" s="22" t="s">
        <v>6</v>
      </c>
      <c r="G79" s="21" t="s">
        <v>7</v>
      </c>
      <c r="H79" s="23" t="s">
        <v>8</v>
      </c>
      <c r="I79" s="23" t="s">
        <v>9</v>
      </c>
      <c r="J79" s="21" t="s">
        <v>10</v>
      </c>
      <c r="K79" s="21" t="s">
        <v>11</v>
      </c>
      <c r="L79" s="21" t="s">
        <v>12</v>
      </c>
      <c r="M79" s="23" t="s">
        <v>13</v>
      </c>
      <c r="N79" s="8"/>
    </row>
    <row r="80" spans="2:14" ht="15" customHeight="1">
      <c r="B80" s="24">
        <v>2024</v>
      </c>
      <c r="C80" s="18" t="s">
        <v>78</v>
      </c>
      <c r="D80" s="24">
        <v>37</v>
      </c>
      <c r="E80" s="25">
        <v>0.35099999999999998</v>
      </c>
      <c r="F80" s="25">
        <v>0.8</v>
      </c>
      <c r="G80" s="24">
        <v>52</v>
      </c>
      <c r="H80" s="26">
        <v>1.4</v>
      </c>
      <c r="I80" s="26">
        <v>1.1000000000000001</v>
      </c>
      <c r="J80" s="24">
        <v>14</v>
      </c>
      <c r="K80" s="24">
        <v>7</v>
      </c>
      <c r="L80" s="24">
        <v>210</v>
      </c>
      <c r="M80" s="26">
        <f>L80/D80</f>
        <v>5.6756756756756754</v>
      </c>
      <c r="N80" s="12"/>
    </row>
    <row r="81" spans="2:14" ht="15" customHeight="1">
      <c r="B81" s="27" t="s">
        <v>15</v>
      </c>
      <c r="C81" s="18" t="s">
        <v>50</v>
      </c>
      <c r="D81" s="24">
        <v>259</v>
      </c>
      <c r="E81" s="25">
        <v>0.38700000000000001</v>
      </c>
      <c r="F81" s="25">
        <v>0.79500000000000004</v>
      </c>
      <c r="G81" s="24">
        <v>286</v>
      </c>
      <c r="H81" s="26">
        <v>1.1000000000000001</v>
      </c>
      <c r="I81" s="26">
        <v>1.5</v>
      </c>
      <c r="J81" s="24">
        <v>86</v>
      </c>
      <c r="K81" s="24">
        <v>26</v>
      </c>
      <c r="L81" s="24">
        <v>1372</v>
      </c>
      <c r="M81" s="26">
        <f>L81/D81</f>
        <v>5.2972972972972974</v>
      </c>
      <c r="N81" s="12"/>
    </row>
    <row r="82" spans="2:14" ht="15" customHeight="1">
      <c r="B82" s="4"/>
      <c r="C82" s="5"/>
      <c r="D82" s="6"/>
      <c r="E82" s="7"/>
      <c r="F82" s="7"/>
      <c r="G82" s="6"/>
      <c r="H82" s="8"/>
      <c r="I82" s="8"/>
      <c r="J82" s="6"/>
      <c r="K82" s="6"/>
      <c r="L82" s="6"/>
      <c r="M82" s="8"/>
      <c r="N82" s="8"/>
    </row>
    <row r="83" spans="2:14" ht="15" customHeight="1">
      <c r="B83" s="30" t="s">
        <v>79</v>
      </c>
    </row>
    <row r="84" spans="2:14" ht="15" customHeight="1">
      <c r="B84" s="19" t="s">
        <v>2</v>
      </c>
      <c r="C84" s="20" t="s">
        <v>3</v>
      </c>
      <c r="D84" s="21" t="s">
        <v>4</v>
      </c>
      <c r="E84" s="22" t="s">
        <v>5</v>
      </c>
      <c r="F84" s="22" t="s">
        <v>6</v>
      </c>
      <c r="G84" s="21" t="s">
        <v>7</v>
      </c>
      <c r="H84" s="23" t="s">
        <v>8</v>
      </c>
      <c r="I84" s="23" t="s">
        <v>9</v>
      </c>
      <c r="J84" s="21" t="s">
        <v>10</v>
      </c>
      <c r="K84" s="21" t="s">
        <v>11</v>
      </c>
      <c r="L84" s="21" t="s">
        <v>12</v>
      </c>
      <c r="M84" s="23" t="s">
        <v>13</v>
      </c>
    </row>
    <row r="85" spans="2:14" ht="15" customHeight="1">
      <c r="B85" s="24">
        <v>2024</v>
      </c>
      <c r="C85" s="18" t="s">
        <v>58</v>
      </c>
      <c r="D85" s="24">
        <v>33</v>
      </c>
      <c r="E85" s="25">
        <v>0.48699999999999999</v>
      </c>
      <c r="F85" s="25">
        <v>0.73</v>
      </c>
      <c r="G85" s="24">
        <v>9</v>
      </c>
      <c r="H85" s="26">
        <v>3.5</v>
      </c>
      <c r="I85" s="26">
        <v>3.1</v>
      </c>
      <c r="J85" s="24">
        <v>36</v>
      </c>
      <c r="K85" s="24">
        <v>6</v>
      </c>
      <c r="L85" s="24">
        <v>577</v>
      </c>
      <c r="M85" s="26">
        <f>L85/D85</f>
        <v>17.484848484848484</v>
      </c>
    </row>
    <row r="86" spans="2:14" ht="15" customHeight="1">
      <c r="B86" s="27" t="s">
        <v>15</v>
      </c>
      <c r="C86" s="18" t="s">
        <v>31</v>
      </c>
      <c r="D86" s="24">
        <v>84</v>
      </c>
      <c r="E86" s="25">
        <v>0.47299999999999998</v>
      </c>
      <c r="F86" s="25">
        <v>0.77400000000000002</v>
      </c>
      <c r="G86" s="24">
        <v>24</v>
      </c>
      <c r="H86" s="26">
        <v>2.5</v>
      </c>
      <c r="I86" s="26">
        <v>2.8</v>
      </c>
      <c r="J86" s="24">
        <v>73</v>
      </c>
      <c r="K86" s="24">
        <v>24</v>
      </c>
      <c r="L86" s="24">
        <v>1225</v>
      </c>
      <c r="M86" s="26">
        <f>L86/D86</f>
        <v>14.583333333333334</v>
      </c>
    </row>
    <row r="88" spans="2:14" ht="15" customHeight="1">
      <c r="B88" s="30" t="s">
        <v>80</v>
      </c>
    </row>
    <row r="89" spans="2:14" ht="15" customHeight="1">
      <c r="B89" s="19" t="s">
        <v>2</v>
      </c>
      <c r="C89" s="20" t="s">
        <v>3</v>
      </c>
      <c r="D89" s="21" t="s">
        <v>4</v>
      </c>
      <c r="E89" s="22" t="s">
        <v>5</v>
      </c>
      <c r="F89" s="22" t="s">
        <v>6</v>
      </c>
      <c r="G89" s="21" t="s">
        <v>7</v>
      </c>
      <c r="H89" s="23" t="s">
        <v>8</v>
      </c>
      <c r="I89" s="23" t="s">
        <v>9</v>
      </c>
      <c r="J89" s="21" t="s">
        <v>10</v>
      </c>
      <c r="K89" s="21" t="s">
        <v>11</v>
      </c>
      <c r="L89" s="21" t="s">
        <v>12</v>
      </c>
      <c r="M89" s="23" t="s">
        <v>13</v>
      </c>
    </row>
    <row r="90" spans="2:14" ht="15" customHeight="1">
      <c r="B90" s="24">
        <v>2024</v>
      </c>
      <c r="C90" s="18" t="s">
        <v>58</v>
      </c>
      <c r="D90" s="24">
        <v>32</v>
      </c>
      <c r="E90" s="25">
        <v>0.52100000000000002</v>
      </c>
      <c r="F90" s="25">
        <v>0.72599999999999998</v>
      </c>
      <c r="G90" s="24">
        <v>0</v>
      </c>
      <c r="H90" s="26">
        <v>7.9</v>
      </c>
      <c r="I90" s="26">
        <v>1.7</v>
      </c>
      <c r="J90" s="24">
        <v>17</v>
      </c>
      <c r="K90" s="24">
        <v>46</v>
      </c>
      <c r="L90" s="24">
        <v>313</v>
      </c>
      <c r="M90" s="26">
        <f>L90/D90</f>
        <v>9.78125</v>
      </c>
    </row>
    <row r="91" spans="2:14" ht="15" customHeight="1">
      <c r="B91" s="27" t="s">
        <v>15</v>
      </c>
      <c r="C91" s="18" t="s">
        <v>40</v>
      </c>
      <c r="D91" s="24">
        <v>32</v>
      </c>
      <c r="E91" s="25">
        <v>0.52100000000000002</v>
      </c>
      <c r="F91" s="25">
        <v>0.72599999999999998</v>
      </c>
      <c r="G91" s="24">
        <v>0</v>
      </c>
      <c r="H91" s="26">
        <v>7.9</v>
      </c>
      <c r="I91" s="26">
        <v>1.7</v>
      </c>
      <c r="J91" s="24">
        <v>17</v>
      </c>
      <c r="K91" s="24">
        <v>46</v>
      </c>
      <c r="L91" s="24">
        <v>313</v>
      </c>
      <c r="M91" s="26">
        <f>L91/D91</f>
        <v>9.78125</v>
      </c>
    </row>
    <row r="93" spans="2:14" ht="15" customHeight="1">
      <c r="B93" s="30" t="s">
        <v>81</v>
      </c>
    </row>
    <row r="94" spans="2:14" ht="15" customHeight="1">
      <c r="B94" s="19" t="s">
        <v>2</v>
      </c>
      <c r="C94" s="20" t="s">
        <v>3</v>
      </c>
      <c r="D94" s="21" t="s">
        <v>4</v>
      </c>
      <c r="E94" s="22" t="s">
        <v>5</v>
      </c>
      <c r="F94" s="22" t="s">
        <v>6</v>
      </c>
      <c r="G94" s="21" t="s">
        <v>7</v>
      </c>
      <c r="H94" s="23" t="s">
        <v>8</v>
      </c>
      <c r="I94" s="23" t="s">
        <v>9</v>
      </c>
      <c r="J94" s="21" t="s">
        <v>10</v>
      </c>
      <c r="K94" s="21" t="s">
        <v>11</v>
      </c>
      <c r="L94" s="21" t="s">
        <v>12</v>
      </c>
      <c r="M94" s="23" t="s">
        <v>13</v>
      </c>
    </row>
    <row r="95" spans="2:14" ht="15" customHeight="1">
      <c r="B95" s="24">
        <v>2024</v>
      </c>
      <c r="C95" s="18" t="s">
        <v>58</v>
      </c>
      <c r="D95" s="24">
        <v>40</v>
      </c>
      <c r="E95" s="25">
        <v>0.46600000000000003</v>
      </c>
      <c r="F95" s="25">
        <v>0.80800000000000005</v>
      </c>
      <c r="G95" s="24">
        <v>14</v>
      </c>
      <c r="H95" s="26">
        <v>2</v>
      </c>
      <c r="I95" s="26">
        <v>3.9</v>
      </c>
      <c r="J95" s="24">
        <v>32</v>
      </c>
      <c r="K95" s="24">
        <v>7</v>
      </c>
      <c r="L95" s="24">
        <v>264</v>
      </c>
      <c r="M95" s="26">
        <f>L95/D95</f>
        <v>6.6</v>
      </c>
    </row>
    <row r="96" spans="2:14" ht="15" customHeight="1">
      <c r="B96" s="27" t="s">
        <v>15</v>
      </c>
      <c r="C96" s="18" t="s">
        <v>18</v>
      </c>
      <c r="D96" s="24">
        <v>183</v>
      </c>
      <c r="E96" s="25">
        <v>0.42899999999999999</v>
      </c>
      <c r="F96" s="25">
        <v>0.79400000000000004</v>
      </c>
      <c r="G96" s="24">
        <v>50</v>
      </c>
      <c r="H96" s="26">
        <v>1.7</v>
      </c>
      <c r="I96" s="26">
        <v>3.3</v>
      </c>
      <c r="J96" s="24">
        <v>106</v>
      </c>
      <c r="K96" s="24">
        <v>15</v>
      </c>
      <c r="L96" s="24">
        <v>874</v>
      </c>
      <c r="M96" s="26">
        <f>L96/D96</f>
        <v>4.7759562841530059</v>
      </c>
    </row>
    <row r="98" spans="2:13" ht="15" customHeight="1">
      <c r="B98" s="30" t="s">
        <v>82</v>
      </c>
    </row>
    <row r="99" spans="2:13" ht="15" customHeight="1">
      <c r="B99" s="19" t="s">
        <v>2</v>
      </c>
      <c r="C99" s="20" t="s">
        <v>3</v>
      </c>
      <c r="D99" s="21" t="s">
        <v>4</v>
      </c>
      <c r="E99" s="22" t="s">
        <v>5</v>
      </c>
      <c r="F99" s="22" t="s">
        <v>6</v>
      </c>
      <c r="G99" s="21" t="s">
        <v>7</v>
      </c>
      <c r="H99" s="23" t="s">
        <v>8</v>
      </c>
      <c r="I99" s="23" t="s">
        <v>9</v>
      </c>
      <c r="J99" s="21" t="s">
        <v>10</v>
      </c>
      <c r="K99" s="21" t="s">
        <v>11</v>
      </c>
      <c r="L99" s="21" t="s">
        <v>12</v>
      </c>
      <c r="M99" s="23" t="s">
        <v>13</v>
      </c>
    </row>
    <row r="100" spans="2:13" ht="15" customHeight="1">
      <c r="B100" s="24">
        <v>2024</v>
      </c>
      <c r="C100" s="18" t="s">
        <v>78</v>
      </c>
      <c r="D100" s="24">
        <v>23</v>
      </c>
      <c r="E100" s="25">
        <v>0.214</v>
      </c>
      <c r="F100" s="25">
        <v>0.83299999999999996</v>
      </c>
      <c r="G100" s="24">
        <v>4</v>
      </c>
      <c r="H100" s="26">
        <v>0.4</v>
      </c>
      <c r="I100" s="26">
        <v>1.3</v>
      </c>
      <c r="J100" s="24">
        <v>8</v>
      </c>
      <c r="K100" s="24">
        <v>0</v>
      </c>
      <c r="L100" s="24">
        <v>31</v>
      </c>
      <c r="M100" s="26">
        <f>L100/D100</f>
        <v>1.3478260869565217</v>
      </c>
    </row>
    <row r="101" spans="2:13" ht="15" customHeight="1">
      <c r="B101" s="27" t="s">
        <v>15</v>
      </c>
      <c r="C101" s="18" t="s">
        <v>25</v>
      </c>
      <c r="D101" s="24">
        <v>202</v>
      </c>
      <c r="E101" s="25">
        <v>0.435</v>
      </c>
      <c r="F101" s="25">
        <v>0.78500000000000003</v>
      </c>
      <c r="G101" s="24">
        <v>148</v>
      </c>
      <c r="H101" s="26">
        <v>1.9</v>
      </c>
      <c r="I101" s="26">
        <v>3.3</v>
      </c>
      <c r="J101" s="24">
        <v>216</v>
      </c>
      <c r="K101" s="24">
        <v>24</v>
      </c>
      <c r="L101" s="24">
        <v>1715</v>
      </c>
      <c r="M101" s="26">
        <f>L101/D101</f>
        <v>8.490099009900991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66"/>
  <sheetViews>
    <sheetView zoomScale="120" zoomScaleNormal="120" workbookViewId="0">
      <selection activeCell="B38" sqref="B38"/>
    </sheetView>
  </sheetViews>
  <sheetFormatPr defaultColWidth="45" defaultRowHeight="15" customHeight="1"/>
  <cols>
    <col min="1" max="1" width="2.7109375" style="1" customWidth="1"/>
    <col min="2" max="2" width="17.7109375" style="13" bestFit="1" customWidth="1"/>
    <col min="3" max="3" width="19.140625" style="1" bestFit="1" customWidth="1"/>
    <col min="4" max="4" width="4.28515625" style="1" customWidth="1"/>
    <col min="5" max="5" width="7.42578125" style="2" bestFit="1" customWidth="1"/>
    <col min="6" max="6" width="4.85546875" style="2" bestFit="1" customWidth="1"/>
    <col min="7" max="7" width="4.42578125" style="1" bestFit="1" customWidth="1"/>
    <col min="8" max="8" width="4.140625" style="3" bestFit="1" customWidth="1"/>
    <col min="9" max="9" width="4.28515625" style="3" bestFit="1" customWidth="1"/>
    <col min="10" max="10" width="5.140625" style="1" customWidth="1"/>
    <col min="11" max="11" width="4.42578125" style="1" bestFit="1" customWidth="1"/>
    <col min="12" max="12" width="5.28515625" style="1" bestFit="1" customWidth="1"/>
    <col min="13" max="13" width="4.42578125" style="3" bestFit="1" customWidth="1"/>
    <col min="14" max="14" width="4.42578125" style="3" customWidth="1"/>
    <col min="15" max="16384" width="45" style="1"/>
  </cols>
  <sheetData>
    <row r="1" spans="2:14" ht="15" customHeight="1">
      <c r="B1" s="33" t="s">
        <v>83</v>
      </c>
    </row>
    <row r="3" spans="2:14" ht="15" customHeight="1">
      <c r="B3" s="30" t="s">
        <v>84</v>
      </c>
    </row>
    <row r="4" spans="2:14" ht="15" customHeight="1">
      <c r="B4" s="19" t="s">
        <v>2</v>
      </c>
      <c r="C4" s="20" t="s">
        <v>3</v>
      </c>
      <c r="D4" s="21" t="s">
        <v>4</v>
      </c>
      <c r="E4" s="22" t="s">
        <v>5</v>
      </c>
      <c r="F4" s="22" t="s">
        <v>6</v>
      </c>
      <c r="G4" s="21" t="s">
        <v>7</v>
      </c>
      <c r="H4" s="23" t="s">
        <v>8</v>
      </c>
      <c r="I4" s="23" t="s">
        <v>9</v>
      </c>
      <c r="J4" s="21" t="s">
        <v>10</v>
      </c>
      <c r="K4" s="21" t="s">
        <v>11</v>
      </c>
      <c r="L4" s="21" t="s">
        <v>12</v>
      </c>
      <c r="M4" s="23" t="s">
        <v>13</v>
      </c>
      <c r="N4" s="8"/>
    </row>
    <row r="5" spans="2:14" ht="15" customHeight="1">
      <c r="B5" s="24">
        <v>2024</v>
      </c>
      <c r="C5" s="18" t="s">
        <v>85</v>
      </c>
      <c r="D5" s="24">
        <v>40</v>
      </c>
      <c r="E5" s="25">
        <v>0.50900000000000001</v>
      </c>
      <c r="F5" s="25">
        <v>0.628</v>
      </c>
      <c r="G5" s="24">
        <v>0</v>
      </c>
      <c r="H5" s="26">
        <v>8.4</v>
      </c>
      <c r="I5" s="26">
        <v>7.9</v>
      </c>
      <c r="J5" s="24">
        <v>62</v>
      </c>
      <c r="K5" s="24">
        <v>18</v>
      </c>
      <c r="L5" s="24">
        <v>423</v>
      </c>
      <c r="M5" s="26">
        <f>L5/D5</f>
        <v>10.574999999999999</v>
      </c>
      <c r="N5" s="12"/>
    </row>
    <row r="6" spans="2:14" ht="15" customHeight="1">
      <c r="B6" s="27" t="s">
        <v>15</v>
      </c>
      <c r="C6" s="18" t="s">
        <v>16</v>
      </c>
      <c r="D6" s="24">
        <v>320</v>
      </c>
      <c r="E6" s="25">
        <v>0.48299999999999998</v>
      </c>
      <c r="F6" s="25">
        <v>0.64600000000000002</v>
      </c>
      <c r="G6" s="24">
        <v>2</v>
      </c>
      <c r="H6" s="26">
        <v>7.5</v>
      </c>
      <c r="I6" s="26">
        <v>4.5999999999999996</v>
      </c>
      <c r="J6" s="24">
        <v>494</v>
      </c>
      <c r="K6" s="24">
        <v>103</v>
      </c>
      <c r="L6" s="24">
        <v>3892</v>
      </c>
      <c r="M6" s="26">
        <f>L6/D6</f>
        <v>12.1625</v>
      </c>
      <c r="N6" s="12"/>
    </row>
    <row r="7" spans="2:14" s="28" customFormat="1" ht="15" customHeight="1">
      <c r="B7" s="9"/>
      <c r="C7" s="1"/>
      <c r="D7" s="10"/>
      <c r="E7" s="11"/>
      <c r="F7" s="11"/>
      <c r="G7" s="10"/>
      <c r="H7" s="12"/>
      <c r="I7" s="12"/>
      <c r="J7" s="10"/>
      <c r="K7" s="10"/>
      <c r="L7" s="10"/>
      <c r="M7" s="12"/>
      <c r="N7" s="12"/>
    </row>
    <row r="8" spans="2:14" ht="15" customHeight="1">
      <c r="B8" s="30" t="s">
        <v>86</v>
      </c>
    </row>
    <row r="9" spans="2:14" ht="15" customHeight="1">
      <c r="B9" s="19" t="s">
        <v>2</v>
      </c>
      <c r="C9" s="20" t="s">
        <v>3</v>
      </c>
      <c r="D9" s="21" t="s">
        <v>4</v>
      </c>
      <c r="E9" s="22" t="s">
        <v>5</v>
      </c>
      <c r="F9" s="22" t="s">
        <v>6</v>
      </c>
      <c r="G9" s="21" t="s">
        <v>7</v>
      </c>
      <c r="H9" s="23" t="s">
        <v>8</v>
      </c>
      <c r="I9" s="23" t="s">
        <v>9</v>
      </c>
      <c r="J9" s="21" t="s">
        <v>10</v>
      </c>
      <c r="K9" s="21" t="s">
        <v>11</v>
      </c>
      <c r="L9" s="21" t="s">
        <v>12</v>
      </c>
      <c r="M9" s="23" t="s">
        <v>13</v>
      </c>
      <c r="N9" s="8"/>
    </row>
    <row r="10" spans="2:14" ht="15" customHeight="1">
      <c r="B10" s="24">
        <v>2024</v>
      </c>
      <c r="C10" s="18" t="s">
        <v>85</v>
      </c>
      <c r="D10" s="24">
        <v>40</v>
      </c>
      <c r="E10" s="25">
        <v>0.53800000000000003</v>
      </c>
      <c r="F10" s="25">
        <v>0.73799999999999999</v>
      </c>
      <c r="G10" s="24">
        <v>2</v>
      </c>
      <c r="H10" s="26">
        <v>5.5</v>
      </c>
      <c r="I10" s="26">
        <v>1.5</v>
      </c>
      <c r="J10" s="24">
        <v>46</v>
      </c>
      <c r="K10" s="24">
        <v>23</v>
      </c>
      <c r="L10" s="24">
        <v>549</v>
      </c>
      <c r="M10" s="26">
        <f>L10/D10</f>
        <v>13.725</v>
      </c>
      <c r="N10" s="12"/>
    </row>
    <row r="11" spans="2:14" ht="15" customHeight="1">
      <c r="B11" s="27" t="s">
        <v>15</v>
      </c>
      <c r="C11" s="18" t="s">
        <v>25</v>
      </c>
      <c r="D11" s="24">
        <v>219</v>
      </c>
      <c r="E11" s="25">
        <v>0.55800000000000005</v>
      </c>
      <c r="F11" s="25">
        <v>0.77200000000000002</v>
      </c>
      <c r="G11" s="24">
        <v>5</v>
      </c>
      <c r="H11" s="26">
        <v>4.5999999999999996</v>
      </c>
      <c r="I11" s="26">
        <v>1.1000000000000001</v>
      </c>
      <c r="J11" s="24">
        <v>217</v>
      </c>
      <c r="K11" s="24">
        <v>89</v>
      </c>
      <c r="L11" s="24">
        <v>2201</v>
      </c>
      <c r="M11" s="26">
        <f>L11/D11</f>
        <v>10.050228310502282</v>
      </c>
      <c r="N11" s="12"/>
    </row>
    <row r="12" spans="2:14" s="28" customFormat="1" ht="15" customHeight="1">
      <c r="B12" s="9"/>
      <c r="C12" s="1"/>
      <c r="D12" s="10"/>
      <c r="E12" s="11"/>
      <c r="F12" s="11"/>
      <c r="G12" s="10"/>
      <c r="H12" s="12"/>
      <c r="I12" s="12"/>
      <c r="J12" s="10"/>
      <c r="K12" s="10"/>
      <c r="L12" s="10"/>
      <c r="M12" s="12"/>
      <c r="N12" s="12"/>
    </row>
    <row r="13" spans="2:14" ht="15" customHeight="1">
      <c r="B13" s="30" t="s">
        <v>87</v>
      </c>
    </row>
    <row r="14" spans="2:14" ht="15" customHeight="1">
      <c r="B14" s="19" t="s">
        <v>2</v>
      </c>
      <c r="C14" s="20" t="s">
        <v>3</v>
      </c>
      <c r="D14" s="21" t="s">
        <v>4</v>
      </c>
      <c r="E14" s="22" t="s">
        <v>5</v>
      </c>
      <c r="F14" s="22" t="s">
        <v>6</v>
      </c>
      <c r="G14" s="21" t="s">
        <v>7</v>
      </c>
      <c r="H14" s="23" t="s">
        <v>8</v>
      </c>
      <c r="I14" s="23" t="s">
        <v>9</v>
      </c>
      <c r="J14" s="21" t="s">
        <v>10</v>
      </c>
      <c r="K14" s="21" t="s">
        <v>11</v>
      </c>
      <c r="L14" s="21" t="s">
        <v>12</v>
      </c>
      <c r="M14" s="23" t="s">
        <v>13</v>
      </c>
      <c r="N14" s="8"/>
    </row>
    <row r="15" spans="2:14" ht="15" customHeight="1">
      <c r="B15" s="24">
        <v>2024</v>
      </c>
      <c r="C15" s="18" t="s">
        <v>85</v>
      </c>
      <c r="D15" s="24">
        <v>39</v>
      </c>
      <c r="E15" s="25">
        <v>0.40300000000000002</v>
      </c>
      <c r="F15" s="25">
        <v>0.79</v>
      </c>
      <c r="G15" s="24">
        <v>26</v>
      </c>
      <c r="H15" s="26">
        <v>5</v>
      </c>
      <c r="I15" s="26">
        <v>1.6</v>
      </c>
      <c r="J15" s="24">
        <v>61</v>
      </c>
      <c r="K15" s="24">
        <v>17</v>
      </c>
      <c r="L15" s="24">
        <v>496</v>
      </c>
      <c r="M15" s="26">
        <f>L15/D15</f>
        <v>12.717948717948717</v>
      </c>
      <c r="N15" s="12"/>
    </row>
    <row r="16" spans="2:14" ht="15" customHeight="1">
      <c r="B16" s="27" t="s">
        <v>15</v>
      </c>
      <c r="C16" s="18" t="s">
        <v>31</v>
      </c>
      <c r="D16" s="24">
        <v>131</v>
      </c>
      <c r="E16" s="25">
        <v>0.40200000000000002</v>
      </c>
      <c r="F16" s="25">
        <v>0.77</v>
      </c>
      <c r="G16" s="24">
        <v>71</v>
      </c>
      <c r="H16" s="26">
        <v>3.4</v>
      </c>
      <c r="I16" s="26">
        <v>1.2</v>
      </c>
      <c r="J16" s="24">
        <v>123</v>
      </c>
      <c r="K16" s="24">
        <v>27</v>
      </c>
      <c r="L16" s="24">
        <v>1073</v>
      </c>
      <c r="M16" s="26">
        <f>L16/D16</f>
        <v>8.1908396946564892</v>
      </c>
      <c r="N16" s="12"/>
    </row>
    <row r="17" spans="2:14" s="28" customFormat="1" ht="15" customHeight="1">
      <c r="B17" s="9"/>
      <c r="C17" s="1"/>
      <c r="D17" s="10"/>
      <c r="E17" s="11"/>
      <c r="F17" s="11"/>
      <c r="G17" s="10"/>
      <c r="H17" s="12"/>
      <c r="I17" s="12"/>
      <c r="J17" s="10"/>
      <c r="K17" s="10"/>
      <c r="L17" s="10"/>
      <c r="M17" s="12"/>
      <c r="N17" s="12"/>
    </row>
    <row r="18" spans="2:14" ht="15" customHeight="1">
      <c r="B18" s="30" t="s">
        <v>88</v>
      </c>
    </row>
    <row r="19" spans="2:14" ht="15" customHeight="1">
      <c r="B19" s="19" t="s">
        <v>2</v>
      </c>
      <c r="C19" s="20" t="s">
        <v>3</v>
      </c>
      <c r="D19" s="21" t="s">
        <v>4</v>
      </c>
      <c r="E19" s="22" t="s">
        <v>5</v>
      </c>
      <c r="F19" s="22" t="s">
        <v>6</v>
      </c>
      <c r="G19" s="21" t="s">
        <v>7</v>
      </c>
      <c r="H19" s="23" t="s">
        <v>8</v>
      </c>
      <c r="I19" s="23" t="s">
        <v>9</v>
      </c>
      <c r="J19" s="21" t="s">
        <v>10</v>
      </c>
      <c r="K19" s="21" t="s">
        <v>11</v>
      </c>
      <c r="L19" s="21" t="s">
        <v>12</v>
      </c>
      <c r="M19" s="23" t="s">
        <v>13</v>
      </c>
      <c r="N19" s="8"/>
    </row>
    <row r="20" spans="2:14" ht="15" customHeight="1">
      <c r="B20" s="24">
        <v>2021</v>
      </c>
      <c r="C20" s="18" t="s">
        <v>85</v>
      </c>
      <c r="D20" s="24">
        <v>18</v>
      </c>
      <c r="E20" s="25">
        <v>0.41399999999999998</v>
      </c>
      <c r="F20" s="25">
        <v>0.5</v>
      </c>
      <c r="G20" s="24">
        <v>0</v>
      </c>
      <c r="H20" s="26">
        <v>1.2</v>
      </c>
      <c r="I20" s="26">
        <v>0.2</v>
      </c>
      <c r="J20" s="24">
        <v>2</v>
      </c>
      <c r="K20" s="24">
        <v>1</v>
      </c>
      <c r="L20" s="24">
        <v>25</v>
      </c>
      <c r="M20" s="26">
        <f>L20/D20</f>
        <v>1.3888888888888888</v>
      </c>
      <c r="N20" s="12"/>
    </row>
    <row r="21" spans="2:14" ht="15" customHeight="1">
      <c r="B21" s="27" t="s">
        <v>15</v>
      </c>
      <c r="C21" s="18" t="s">
        <v>40</v>
      </c>
      <c r="D21" s="24">
        <v>18</v>
      </c>
      <c r="E21" s="25">
        <v>0.41399999999999998</v>
      </c>
      <c r="F21" s="25">
        <v>0.5</v>
      </c>
      <c r="G21" s="24">
        <v>0</v>
      </c>
      <c r="H21" s="26">
        <v>1.2</v>
      </c>
      <c r="I21" s="26">
        <v>0.2</v>
      </c>
      <c r="J21" s="24">
        <v>2</v>
      </c>
      <c r="K21" s="24">
        <v>1</v>
      </c>
      <c r="L21" s="24">
        <v>25</v>
      </c>
      <c r="M21" s="26">
        <f>L21/D21</f>
        <v>1.3888888888888888</v>
      </c>
      <c r="N21" s="12"/>
    </row>
    <row r="22" spans="2:14" s="28" customFormat="1" ht="15" customHeight="1">
      <c r="B22" s="9"/>
      <c r="C22" s="1"/>
      <c r="D22" s="10"/>
      <c r="E22" s="11"/>
      <c r="F22" s="11"/>
      <c r="G22" s="10"/>
      <c r="H22" s="12"/>
      <c r="I22" s="12"/>
      <c r="J22" s="10"/>
      <c r="K22" s="10"/>
      <c r="L22" s="10"/>
      <c r="M22" s="12"/>
      <c r="N22" s="12"/>
    </row>
    <row r="23" spans="2:14" ht="15" customHeight="1">
      <c r="B23" s="30" t="s">
        <v>89</v>
      </c>
    </row>
    <row r="24" spans="2:14" ht="15" customHeight="1">
      <c r="B24" s="19" t="s">
        <v>2</v>
      </c>
      <c r="C24" s="20" t="s">
        <v>3</v>
      </c>
      <c r="D24" s="21" t="s">
        <v>4</v>
      </c>
      <c r="E24" s="22" t="s">
        <v>5</v>
      </c>
      <c r="F24" s="22" t="s">
        <v>6</v>
      </c>
      <c r="G24" s="21" t="s">
        <v>7</v>
      </c>
      <c r="H24" s="23" t="s">
        <v>8</v>
      </c>
      <c r="I24" s="23" t="s">
        <v>9</v>
      </c>
      <c r="J24" s="21" t="s">
        <v>10</v>
      </c>
      <c r="K24" s="21" t="s">
        <v>11</v>
      </c>
      <c r="L24" s="21" t="s">
        <v>12</v>
      </c>
      <c r="M24" s="23" t="s">
        <v>13</v>
      </c>
      <c r="N24" s="8"/>
    </row>
    <row r="25" spans="2:14" ht="15" customHeight="1">
      <c r="B25" s="24">
        <v>2023</v>
      </c>
      <c r="C25" s="18" t="s">
        <v>90</v>
      </c>
      <c r="D25" s="24">
        <v>4</v>
      </c>
      <c r="E25" s="25">
        <v>0.25</v>
      </c>
      <c r="F25" s="25">
        <v>0</v>
      </c>
      <c r="G25" s="24">
        <v>0</v>
      </c>
      <c r="H25" s="26">
        <v>1.3</v>
      </c>
      <c r="I25" s="26">
        <v>0.3</v>
      </c>
      <c r="J25" s="24">
        <v>1</v>
      </c>
      <c r="K25" s="24">
        <v>0</v>
      </c>
      <c r="L25" s="24">
        <v>6</v>
      </c>
      <c r="M25" s="26">
        <f>L25/D25</f>
        <v>1.5</v>
      </c>
      <c r="N25" s="12"/>
    </row>
    <row r="26" spans="2:14" ht="15" customHeight="1">
      <c r="B26" s="27" t="s">
        <v>15</v>
      </c>
      <c r="C26" s="18" t="s">
        <v>31</v>
      </c>
      <c r="D26" s="24">
        <v>56</v>
      </c>
      <c r="E26" s="25">
        <v>0.38</v>
      </c>
      <c r="F26" s="25">
        <v>0.78200000000000003</v>
      </c>
      <c r="G26" s="24">
        <v>21</v>
      </c>
      <c r="H26" s="26">
        <v>2.6</v>
      </c>
      <c r="I26" s="26">
        <v>0.9</v>
      </c>
      <c r="J26" s="24">
        <v>31</v>
      </c>
      <c r="K26" s="24">
        <v>18</v>
      </c>
      <c r="L26" s="24">
        <v>248</v>
      </c>
      <c r="M26" s="26">
        <f>L26/D26</f>
        <v>4.4285714285714288</v>
      </c>
      <c r="N26" s="12"/>
    </row>
    <row r="27" spans="2:14" s="28" customFormat="1" ht="15" customHeight="1">
      <c r="B27" s="9"/>
      <c r="C27" s="1"/>
      <c r="D27" s="10"/>
      <c r="E27" s="11"/>
      <c r="F27" s="11"/>
      <c r="G27" s="10"/>
      <c r="H27" s="12"/>
      <c r="I27" s="12"/>
      <c r="J27" s="10"/>
      <c r="K27" s="10"/>
      <c r="L27" s="10"/>
      <c r="M27" s="12"/>
      <c r="N27" s="12"/>
    </row>
    <row r="28" spans="2:14" ht="15" customHeight="1">
      <c r="B28" s="30" t="s">
        <v>91</v>
      </c>
      <c r="N28" s="8"/>
    </row>
    <row r="29" spans="2:14" ht="15" customHeight="1">
      <c r="B29" s="19" t="s">
        <v>2</v>
      </c>
      <c r="C29" s="20" t="s">
        <v>3</v>
      </c>
      <c r="D29" s="21" t="s">
        <v>4</v>
      </c>
      <c r="E29" s="22" t="s">
        <v>5</v>
      </c>
      <c r="F29" s="22" t="s">
        <v>6</v>
      </c>
      <c r="G29" s="21" t="s">
        <v>7</v>
      </c>
      <c r="H29" s="23" t="s">
        <v>8</v>
      </c>
      <c r="I29" s="23" t="s">
        <v>9</v>
      </c>
      <c r="J29" s="21" t="s">
        <v>10</v>
      </c>
      <c r="K29" s="21" t="s">
        <v>11</v>
      </c>
      <c r="L29" s="21" t="s">
        <v>12</v>
      </c>
      <c r="M29" s="23" t="s">
        <v>13</v>
      </c>
      <c r="N29" s="12"/>
    </row>
    <row r="30" spans="2:14" ht="15" customHeight="1">
      <c r="B30" s="24">
        <v>2022</v>
      </c>
      <c r="C30" s="18" t="s">
        <v>85</v>
      </c>
      <c r="D30" s="24">
        <v>28</v>
      </c>
      <c r="E30" s="25">
        <v>0.34</v>
      </c>
      <c r="F30" s="25">
        <v>0.58799999999999997</v>
      </c>
      <c r="G30" s="24">
        <v>12</v>
      </c>
      <c r="H30" s="26">
        <v>0.8</v>
      </c>
      <c r="I30" s="26">
        <v>0.8</v>
      </c>
      <c r="J30" s="24">
        <v>6</v>
      </c>
      <c r="K30" s="24">
        <v>1</v>
      </c>
      <c r="L30" s="24">
        <v>58</v>
      </c>
      <c r="M30" s="26">
        <f>L30/D30</f>
        <v>2.0714285714285716</v>
      </c>
      <c r="N30" s="12"/>
    </row>
    <row r="31" spans="2:14" ht="15" customHeight="1">
      <c r="B31" s="27" t="s">
        <v>15</v>
      </c>
      <c r="C31" s="18" t="s">
        <v>40</v>
      </c>
      <c r="D31" s="24">
        <v>28</v>
      </c>
      <c r="E31" s="25">
        <v>0.34</v>
      </c>
      <c r="F31" s="25">
        <v>0.58799999999999997</v>
      </c>
      <c r="G31" s="24">
        <v>12</v>
      </c>
      <c r="H31" s="26">
        <v>0.8</v>
      </c>
      <c r="I31" s="26">
        <v>0.8</v>
      </c>
      <c r="J31" s="24">
        <v>6</v>
      </c>
      <c r="K31" s="24">
        <v>1</v>
      </c>
      <c r="L31" s="24">
        <v>58</v>
      </c>
      <c r="M31" s="26">
        <f>L31/D31</f>
        <v>2.0714285714285716</v>
      </c>
      <c r="N31" s="17"/>
    </row>
    <row r="32" spans="2:14" ht="15" customHeight="1">
      <c r="B32" s="15"/>
      <c r="C32" s="5"/>
      <c r="D32" s="5"/>
      <c r="E32" s="16"/>
      <c r="F32" s="16"/>
      <c r="G32" s="5"/>
      <c r="H32" s="17"/>
      <c r="I32" s="17"/>
      <c r="J32" s="5"/>
      <c r="K32" s="5"/>
      <c r="L32" s="17"/>
      <c r="M32" s="17"/>
    </row>
    <row r="33" spans="2:14" ht="15" customHeight="1">
      <c r="B33" s="30" t="s">
        <v>92</v>
      </c>
      <c r="N33" s="8"/>
    </row>
    <row r="34" spans="2:14" ht="15" customHeight="1">
      <c r="B34" s="19" t="s">
        <v>2</v>
      </c>
      <c r="C34" s="20" t="s">
        <v>3</v>
      </c>
      <c r="D34" s="21" t="s">
        <v>4</v>
      </c>
      <c r="E34" s="22" t="s">
        <v>5</v>
      </c>
      <c r="F34" s="22" t="s">
        <v>6</v>
      </c>
      <c r="G34" s="21" t="s">
        <v>7</v>
      </c>
      <c r="H34" s="23" t="s">
        <v>8</v>
      </c>
      <c r="I34" s="23" t="s">
        <v>9</v>
      </c>
      <c r="J34" s="21" t="s">
        <v>10</v>
      </c>
      <c r="K34" s="21" t="s">
        <v>11</v>
      </c>
      <c r="L34" s="21" t="s">
        <v>12</v>
      </c>
      <c r="M34" s="23" t="s">
        <v>13</v>
      </c>
      <c r="N34" s="12"/>
    </row>
    <row r="35" spans="2:14" ht="15" customHeight="1">
      <c r="B35" s="24">
        <v>2022</v>
      </c>
      <c r="C35" s="18" t="s">
        <v>22</v>
      </c>
      <c r="D35" s="24">
        <v>30</v>
      </c>
      <c r="E35" s="25">
        <v>0.56599999999999995</v>
      </c>
      <c r="F35" s="25">
        <v>0.70299999999999996</v>
      </c>
      <c r="G35" s="24">
        <v>0</v>
      </c>
      <c r="H35" s="26">
        <v>2.9</v>
      </c>
      <c r="I35" s="26">
        <v>0.4</v>
      </c>
      <c r="J35" s="24">
        <v>9</v>
      </c>
      <c r="K35" s="24">
        <v>24</v>
      </c>
      <c r="L35" s="24">
        <v>120</v>
      </c>
      <c r="M35" s="26">
        <f>L35/D35</f>
        <v>4</v>
      </c>
      <c r="N35" s="12"/>
    </row>
    <row r="36" spans="2:14" ht="15" customHeight="1">
      <c r="B36" s="27" t="s">
        <v>15</v>
      </c>
      <c r="C36" s="18" t="s">
        <v>93</v>
      </c>
      <c r="D36" s="24">
        <v>30</v>
      </c>
      <c r="E36" s="25">
        <v>0.56599999999999995</v>
      </c>
      <c r="F36" s="25">
        <v>0.70299999999999996</v>
      </c>
      <c r="G36" s="24">
        <v>0</v>
      </c>
      <c r="H36" s="26">
        <v>2.9</v>
      </c>
      <c r="I36" s="26">
        <v>0.4</v>
      </c>
      <c r="J36" s="24">
        <v>9</v>
      </c>
      <c r="K36" s="24">
        <v>24</v>
      </c>
      <c r="L36" s="24">
        <v>120</v>
      </c>
      <c r="M36" s="26">
        <f>L36/D36</f>
        <v>4</v>
      </c>
      <c r="N36" s="17"/>
    </row>
    <row r="37" spans="2:14" ht="15" customHeight="1">
      <c r="B37" s="15"/>
      <c r="C37" s="5"/>
      <c r="D37" s="5"/>
      <c r="E37" s="16"/>
      <c r="F37" s="16"/>
      <c r="G37" s="5"/>
      <c r="H37" s="17"/>
      <c r="I37" s="17"/>
      <c r="J37" s="5"/>
      <c r="K37" s="5"/>
      <c r="L37" s="17"/>
      <c r="M37" s="17"/>
    </row>
    <row r="38" spans="2:14" ht="15" customHeight="1">
      <c r="B38" s="30" t="s">
        <v>94</v>
      </c>
    </row>
    <row r="39" spans="2:14" ht="15" customHeight="1">
      <c r="B39" s="19" t="s">
        <v>2</v>
      </c>
      <c r="C39" s="20" t="s">
        <v>3</v>
      </c>
      <c r="D39" s="21" t="s">
        <v>4</v>
      </c>
      <c r="E39" s="22" t="s">
        <v>5</v>
      </c>
      <c r="F39" s="22" t="s">
        <v>6</v>
      </c>
      <c r="G39" s="21" t="s">
        <v>7</v>
      </c>
      <c r="H39" s="23" t="s">
        <v>8</v>
      </c>
      <c r="I39" s="23" t="s">
        <v>9</v>
      </c>
      <c r="J39" s="21" t="s">
        <v>10</v>
      </c>
      <c r="K39" s="21" t="s">
        <v>11</v>
      </c>
      <c r="L39" s="21" t="s">
        <v>12</v>
      </c>
      <c r="M39" s="23" t="s">
        <v>13</v>
      </c>
      <c r="N39" s="8"/>
    </row>
    <row r="40" spans="2:14" ht="15" customHeight="1">
      <c r="B40" s="24">
        <v>2024</v>
      </c>
      <c r="C40" s="18" t="s">
        <v>85</v>
      </c>
      <c r="D40" s="24">
        <v>39</v>
      </c>
      <c r="E40" s="25">
        <v>0.42499999999999999</v>
      </c>
      <c r="F40" s="25">
        <v>0.76600000000000001</v>
      </c>
      <c r="G40" s="24">
        <v>60</v>
      </c>
      <c r="H40" s="26">
        <v>1.8</v>
      </c>
      <c r="I40" s="26">
        <v>3.1</v>
      </c>
      <c r="J40" s="24">
        <v>40</v>
      </c>
      <c r="K40" s="24">
        <v>13</v>
      </c>
      <c r="L40" s="24">
        <v>409</v>
      </c>
      <c r="M40" s="26">
        <f>L40/D40</f>
        <v>10.487179487179487</v>
      </c>
      <c r="N40" s="12"/>
    </row>
    <row r="41" spans="2:14" ht="15" customHeight="1">
      <c r="B41" s="27" t="s">
        <v>15</v>
      </c>
      <c r="C41" s="18" t="s">
        <v>31</v>
      </c>
      <c r="D41" s="24">
        <v>167</v>
      </c>
      <c r="E41" s="25">
        <v>0.41</v>
      </c>
      <c r="F41" s="25">
        <v>0.753</v>
      </c>
      <c r="G41" s="24">
        <v>155</v>
      </c>
      <c r="H41" s="26">
        <v>1.3</v>
      </c>
      <c r="I41" s="26">
        <v>2.6</v>
      </c>
      <c r="J41" s="24">
        <v>113</v>
      </c>
      <c r="K41" s="24">
        <v>33</v>
      </c>
      <c r="L41" s="24">
        <v>1097</v>
      </c>
      <c r="M41" s="26">
        <f>L41/D41</f>
        <v>6.568862275449102</v>
      </c>
      <c r="N41" s="12"/>
    </row>
    <row r="42" spans="2:14" ht="15" customHeight="1">
      <c r="D42" s="14"/>
    </row>
    <row r="43" spans="2:14" ht="15" customHeight="1">
      <c r="B43" s="30" t="s">
        <v>95</v>
      </c>
    </row>
    <row r="44" spans="2:14" ht="15" customHeight="1">
      <c r="B44" s="19" t="s">
        <v>2</v>
      </c>
      <c r="C44" s="20" t="s">
        <v>3</v>
      </c>
      <c r="D44" s="21" t="s">
        <v>4</v>
      </c>
      <c r="E44" s="22" t="s">
        <v>5</v>
      </c>
      <c r="F44" s="22" t="s">
        <v>6</v>
      </c>
      <c r="G44" s="21" t="s">
        <v>7</v>
      </c>
      <c r="H44" s="23" t="s">
        <v>8</v>
      </c>
      <c r="I44" s="23" t="s">
        <v>9</v>
      </c>
      <c r="J44" s="21" t="s">
        <v>10</v>
      </c>
      <c r="K44" s="21" t="s">
        <v>11</v>
      </c>
      <c r="L44" s="21" t="s">
        <v>12</v>
      </c>
      <c r="M44" s="23" t="s">
        <v>13</v>
      </c>
      <c r="N44" s="8"/>
    </row>
    <row r="45" spans="2:14" ht="15" customHeight="1">
      <c r="B45" s="24">
        <v>2024</v>
      </c>
      <c r="C45" s="18" t="s">
        <v>85</v>
      </c>
      <c r="D45" s="24">
        <v>40</v>
      </c>
      <c r="E45" s="25">
        <v>0.41399999999999998</v>
      </c>
      <c r="F45" s="25">
        <v>0.83199999999999996</v>
      </c>
      <c r="G45" s="24">
        <v>58</v>
      </c>
      <c r="H45" s="26">
        <v>6</v>
      </c>
      <c r="I45" s="26">
        <v>2</v>
      </c>
      <c r="J45" s="24">
        <v>47</v>
      </c>
      <c r="K45" s="24">
        <v>27</v>
      </c>
      <c r="L45" s="24">
        <v>601</v>
      </c>
      <c r="M45" s="26">
        <f>L45/D45</f>
        <v>15.025</v>
      </c>
      <c r="N45" s="12"/>
    </row>
    <row r="46" spans="2:14" ht="15" customHeight="1">
      <c r="B46" s="27" t="s">
        <v>15</v>
      </c>
      <c r="C46" s="18" t="s">
        <v>96</v>
      </c>
      <c r="D46" s="24">
        <v>502</v>
      </c>
      <c r="E46" s="25">
        <v>0.41599999999999998</v>
      </c>
      <c r="F46" s="25">
        <v>0.85699999999999998</v>
      </c>
      <c r="G46" s="24">
        <v>623</v>
      </c>
      <c r="H46" s="26">
        <v>6.1</v>
      </c>
      <c r="I46" s="26">
        <v>2.2999999999999998</v>
      </c>
      <c r="J46" s="24">
        <v>603</v>
      </c>
      <c r="K46" s="24">
        <v>334</v>
      </c>
      <c r="L46" s="24">
        <v>7482</v>
      </c>
      <c r="M46" s="26">
        <f>L46/D46</f>
        <v>14.904382470119522</v>
      </c>
      <c r="N46" s="12"/>
    </row>
    <row r="48" spans="2:14" ht="15" customHeight="1">
      <c r="B48" s="30" t="s">
        <v>97</v>
      </c>
    </row>
    <row r="49" spans="2:14" ht="15" customHeight="1">
      <c r="B49" s="19" t="s">
        <v>2</v>
      </c>
      <c r="C49" s="20" t="s">
        <v>3</v>
      </c>
      <c r="D49" s="21" t="s">
        <v>4</v>
      </c>
      <c r="E49" s="22" t="s">
        <v>5</v>
      </c>
      <c r="F49" s="22" t="s">
        <v>6</v>
      </c>
      <c r="G49" s="21" t="s">
        <v>7</v>
      </c>
      <c r="H49" s="23" t="s">
        <v>8</v>
      </c>
      <c r="I49" s="23" t="s">
        <v>9</v>
      </c>
      <c r="J49" s="21" t="s">
        <v>10</v>
      </c>
      <c r="K49" s="21" t="s">
        <v>11</v>
      </c>
      <c r="L49" s="21" t="s">
        <v>12</v>
      </c>
      <c r="M49" s="23" t="s">
        <v>13</v>
      </c>
      <c r="N49" s="8"/>
    </row>
    <row r="50" spans="2:14" ht="15" customHeight="1">
      <c r="B50" s="24">
        <v>2024</v>
      </c>
      <c r="C50" s="18" t="s">
        <v>37</v>
      </c>
      <c r="D50" s="24">
        <v>18</v>
      </c>
      <c r="E50" s="25">
        <v>0.41699999999999998</v>
      </c>
      <c r="F50" s="25">
        <v>0.66700000000000004</v>
      </c>
      <c r="G50" s="24">
        <v>25</v>
      </c>
      <c r="H50" s="26">
        <v>3.9</v>
      </c>
      <c r="I50" s="26">
        <v>1.1000000000000001</v>
      </c>
      <c r="J50" s="24">
        <v>17</v>
      </c>
      <c r="K50" s="24">
        <v>12</v>
      </c>
      <c r="L50" s="24">
        <v>133</v>
      </c>
      <c r="M50" s="26">
        <f>L50/D50</f>
        <v>7.3888888888888893</v>
      </c>
      <c r="N50" s="12"/>
    </row>
    <row r="51" spans="2:14" ht="15" customHeight="1">
      <c r="B51" s="27" t="s">
        <v>15</v>
      </c>
      <c r="C51" s="18" t="s">
        <v>50</v>
      </c>
      <c r="D51" s="24">
        <v>216</v>
      </c>
      <c r="E51" s="25">
        <v>0.39200000000000002</v>
      </c>
      <c r="F51" s="25">
        <v>0.80400000000000005</v>
      </c>
      <c r="G51" s="24">
        <v>210</v>
      </c>
      <c r="H51" s="26">
        <v>2.7</v>
      </c>
      <c r="I51" s="26">
        <v>0.8</v>
      </c>
      <c r="J51" s="24">
        <v>158</v>
      </c>
      <c r="K51" s="24">
        <v>172</v>
      </c>
      <c r="L51" s="24">
        <v>1289</v>
      </c>
      <c r="M51" s="26">
        <f>L51/D51</f>
        <v>5.9675925925925926</v>
      </c>
      <c r="N51" s="12"/>
    </row>
    <row r="52" spans="2:14" ht="15" customHeight="1">
      <c r="B52" s="4"/>
      <c r="C52" s="5"/>
      <c r="D52" s="6"/>
      <c r="E52" s="7"/>
      <c r="F52" s="7"/>
      <c r="G52" s="6"/>
      <c r="H52" s="8"/>
      <c r="I52" s="8"/>
      <c r="J52" s="6"/>
      <c r="K52" s="6"/>
      <c r="L52" s="6"/>
      <c r="M52" s="8"/>
      <c r="N52" s="8"/>
    </row>
    <row r="53" spans="2:14" ht="15" customHeight="1">
      <c r="B53" s="30" t="s">
        <v>98</v>
      </c>
      <c r="N53" s="8"/>
    </row>
    <row r="54" spans="2:14" ht="15" customHeight="1">
      <c r="B54" s="19" t="s">
        <v>2</v>
      </c>
      <c r="C54" s="20" t="s">
        <v>3</v>
      </c>
      <c r="D54" s="21" t="s">
        <v>4</v>
      </c>
      <c r="E54" s="22" t="s">
        <v>5</v>
      </c>
      <c r="F54" s="22" t="s">
        <v>6</v>
      </c>
      <c r="G54" s="21" t="s">
        <v>7</v>
      </c>
      <c r="H54" s="23" t="s">
        <v>8</v>
      </c>
      <c r="I54" s="23" t="s">
        <v>9</v>
      </c>
      <c r="J54" s="21" t="s">
        <v>10</v>
      </c>
      <c r="K54" s="21" t="s">
        <v>11</v>
      </c>
      <c r="L54" s="21" t="s">
        <v>12</v>
      </c>
      <c r="M54" s="23" t="s">
        <v>13</v>
      </c>
      <c r="N54" s="12"/>
    </row>
    <row r="55" spans="2:14" ht="15" customHeight="1">
      <c r="B55" s="24">
        <v>2024</v>
      </c>
      <c r="C55" s="18" t="s">
        <v>85</v>
      </c>
      <c r="D55" s="24">
        <v>31</v>
      </c>
      <c r="E55" s="25">
        <v>0.36099999999999999</v>
      </c>
      <c r="F55" s="25">
        <v>0.83799999999999997</v>
      </c>
      <c r="G55" s="24">
        <v>13</v>
      </c>
      <c r="H55" s="26">
        <v>1.4</v>
      </c>
      <c r="I55" s="26">
        <v>1.9</v>
      </c>
      <c r="J55" s="24">
        <v>14</v>
      </c>
      <c r="K55" s="24">
        <v>7</v>
      </c>
      <c r="L55" s="24">
        <v>96</v>
      </c>
      <c r="M55" s="26">
        <f>L55/D55</f>
        <v>3.096774193548387</v>
      </c>
      <c r="N55" s="12"/>
    </row>
    <row r="56" spans="2:14" ht="15" customHeight="1">
      <c r="B56" s="27" t="s">
        <v>15</v>
      </c>
      <c r="C56" s="18" t="s">
        <v>23</v>
      </c>
      <c r="D56" s="24">
        <v>107</v>
      </c>
      <c r="E56" s="25">
        <v>0.32600000000000001</v>
      </c>
      <c r="F56" s="25">
        <v>0.91300000000000003</v>
      </c>
      <c r="G56" s="24">
        <v>38</v>
      </c>
      <c r="H56" s="26">
        <v>1.6</v>
      </c>
      <c r="I56" s="26">
        <v>2</v>
      </c>
      <c r="J56" s="24">
        <v>77</v>
      </c>
      <c r="K56" s="24">
        <v>28</v>
      </c>
      <c r="L56" s="24">
        <v>284</v>
      </c>
      <c r="M56" s="26">
        <f>L56/D56</f>
        <v>2.6542056074766354</v>
      </c>
      <c r="N56" s="17"/>
    </row>
    <row r="57" spans="2:14" ht="15" customHeight="1">
      <c r="B57" s="15"/>
      <c r="C57" s="5"/>
      <c r="D57" s="5"/>
      <c r="E57" s="16"/>
      <c r="F57" s="16"/>
      <c r="G57" s="5"/>
      <c r="H57" s="17"/>
      <c r="I57" s="17"/>
      <c r="J57" s="5"/>
      <c r="K57" s="5"/>
      <c r="L57" s="17"/>
      <c r="M57" s="17"/>
    </row>
    <row r="58" spans="2:14" ht="15" customHeight="1">
      <c r="B58" s="30" t="s">
        <v>99</v>
      </c>
    </row>
    <row r="59" spans="2:14" ht="15" customHeight="1">
      <c r="B59" s="19" t="s">
        <v>2</v>
      </c>
      <c r="C59" s="20" t="s">
        <v>3</v>
      </c>
      <c r="D59" s="21" t="s">
        <v>4</v>
      </c>
      <c r="E59" s="22" t="s">
        <v>5</v>
      </c>
      <c r="F59" s="22" t="s">
        <v>6</v>
      </c>
      <c r="G59" s="21" t="s">
        <v>7</v>
      </c>
      <c r="H59" s="23" t="s">
        <v>8</v>
      </c>
      <c r="I59" s="23" t="s">
        <v>9</v>
      </c>
      <c r="J59" s="21" t="s">
        <v>10</v>
      </c>
      <c r="K59" s="21" t="s">
        <v>11</v>
      </c>
      <c r="L59" s="21" t="s">
        <v>12</v>
      </c>
      <c r="M59" s="23" t="s">
        <v>13</v>
      </c>
    </row>
    <row r="60" spans="2:14" ht="15" customHeight="1">
      <c r="B60" s="24">
        <v>2024</v>
      </c>
      <c r="C60" s="18" t="s">
        <v>85</v>
      </c>
      <c r="D60" s="24">
        <v>24</v>
      </c>
      <c r="E60" s="25">
        <v>0.34899999999999998</v>
      </c>
      <c r="F60" s="25">
        <v>0.78300000000000003</v>
      </c>
      <c r="G60" s="24">
        <v>6</v>
      </c>
      <c r="H60" s="26">
        <v>1.5</v>
      </c>
      <c r="I60" s="26">
        <v>0.8</v>
      </c>
      <c r="J60" s="24">
        <v>11</v>
      </c>
      <c r="K60" s="24">
        <v>1</v>
      </c>
      <c r="L60" s="24">
        <v>118</v>
      </c>
      <c r="M60" s="26">
        <f>L60/D60</f>
        <v>4.916666666666667</v>
      </c>
    </row>
    <row r="61" spans="2:14" ht="15" customHeight="1">
      <c r="B61" s="27" t="s">
        <v>15</v>
      </c>
      <c r="C61" s="18" t="s">
        <v>50</v>
      </c>
      <c r="D61" s="24">
        <v>266</v>
      </c>
      <c r="E61" s="25">
        <v>0.38200000000000001</v>
      </c>
      <c r="F61" s="25">
        <v>0.88200000000000001</v>
      </c>
      <c r="G61" s="24">
        <v>138</v>
      </c>
      <c r="H61" s="26">
        <v>2.4</v>
      </c>
      <c r="I61" s="26">
        <v>1.8</v>
      </c>
      <c r="J61" s="24">
        <v>194</v>
      </c>
      <c r="K61" s="24">
        <v>28</v>
      </c>
      <c r="L61" s="24">
        <v>2354</v>
      </c>
      <c r="M61" s="26">
        <f>L61/D61</f>
        <v>8.8496240601503757</v>
      </c>
    </row>
    <row r="63" spans="2:14" ht="15" customHeight="1">
      <c r="B63" s="30" t="s">
        <v>100</v>
      </c>
    </row>
    <row r="64" spans="2:14" ht="15" customHeight="1">
      <c r="B64" s="19" t="s">
        <v>2</v>
      </c>
      <c r="C64" s="20" t="s">
        <v>3</v>
      </c>
      <c r="D64" s="21" t="s">
        <v>4</v>
      </c>
      <c r="E64" s="22" t="s">
        <v>5</v>
      </c>
      <c r="F64" s="22" t="s">
        <v>6</v>
      </c>
      <c r="G64" s="21" t="s">
        <v>7</v>
      </c>
      <c r="H64" s="23" t="s">
        <v>8</v>
      </c>
      <c r="I64" s="23" t="s">
        <v>9</v>
      </c>
      <c r="J64" s="21" t="s">
        <v>10</v>
      </c>
      <c r="K64" s="21" t="s">
        <v>11</v>
      </c>
      <c r="L64" s="21" t="s">
        <v>12</v>
      </c>
      <c r="M64" s="23" t="s">
        <v>13</v>
      </c>
      <c r="N64" s="8"/>
    </row>
    <row r="65" spans="2:14" ht="15" customHeight="1">
      <c r="B65" s="24">
        <v>2022</v>
      </c>
      <c r="C65" s="18" t="s">
        <v>101</v>
      </c>
      <c r="D65" s="24">
        <v>13</v>
      </c>
      <c r="E65" s="25">
        <v>0.378</v>
      </c>
      <c r="F65" s="25">
        <v>0.66700000000000004</v>
      </c>
      <c r="G65" s="24">
        <v>7</v>
      </c>
      <c r="H65" s="26">
        <v>0.9</v>
      </c>
      <c r="I65" s="26">
        <v>1.1000000000000001</v>
      </c>
      <c r="J65" s="24">
        <v>4</v>
      </c>
      <c r="K65" s="24">
        <v>0</v>
      </c>
      <c r="L65" s="24">
        <v>39</v>
      </c>
      <c r="M65" s="26">
        <f>L65/D65</f>
        <v>3</v>
      </c>
      <c r="N65" s="12"/>
    </row>
    <row r="66" spans="2:14" ht="15" customHeight="1">
      <c r="B66" s="27" t="s">
        <v>15</v>
      </c>
      <c r="C66" s="18" t="s">
        <v>50</v>
      </c>
      <c r="D66" s="24">
        <v>207</v>
      </c>
      <c r="E66" s="25">
        <v>0.38700000000000001</v>
      </c>
      <c r="F66" s="25">
        <v>0.77</v>
      </c>
      <c r="G66" s="24">
        <v>199</v>
      </c>
      <c r="H66" s="26">
        <v>2.2000000000000002</v>
      </c>
      <c r="I66" s="26">
        <v>2.6</v>
      </c>
      <c r="J66" s="24">
        <v>132</v>
      </c>
      <c r="K66" s="24">
        <v>11</v>
      </c>
      <c r="L66" s="24">
        <v>1630</v>
      </c>
      <c r="M66" s="26">
        <f>L66/D66</f>
        <v>7.8743961352657008</v>
      </c>
      <c r="N66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106"/>
  <sheetViews>
    <sheetView zoomScale="120" zoomScaleNormal="120" workbookViewId="0">
      <selection activeCell="B83" sqref="B83"/>
    </sheetView>
  </sheetViews>
  <sheetFormatPr defaultColWidth="45" defaultRowHeight="15" customHeight="1"/>
  <cols>
    <col min="1" max="1" width="2.7109375" style="1" customWidth="1"/>
    <col min="2" max="2" width="17.7109375" style="13" bestFit="1" customWidth="1"/>
    <col min="3" max="3" width="19.140625" style="1" bestFit="1" customWidth="1"/>
    <col min="4" max="4" width="4.28515625" style="1" customWidth="1"/>
    <col min="5" max="5" width="7.42578125" style="2" bestFit="1" customWidth="1"/>
    <col min="6" max="6" width="4.85546875" style="2" bestFit="1" customWidth="1"/>
    <col min="7" max="7" width="4.42578125" style="1" bestFit="1" customWidth="1"/>
    <col min="8" max="8" width="4.140625" style="3" bestFit="1" customWidth="1"/>
    <col min="9" max="9" width="4.28515625" style="3" bestFit="1" customWidth="1"/>
    <col min="10" max="10" width="5.140625" style="1" customWidth="1"/>
    <col min="11" max="11" width="4.42578125" style="1" bestFit="1" customWidth="1"/>
    <col min="12" max="12" width="5.28515625" style="1" bestFit="1" customWidth="1"/>
    <col min="13" max="13" width="4.42578125" style="3" bestFit="1" customWidth="1"/>
    <col min="14" max="14" width="4.42578125" style="3" customWidth="1"/>
    <col min="15" max="16384" width="45" style="1"/>
  </cols>
  <sheetData>
    <row r="1" spans="2:14" ht="15" customHeight="1">
      <c r="B1" s="33" t="s">
        <v>102</v>
      </c>
    </row>
    <row r="3" spans="2:14" ht="15" customHeight="1">
      <c r="B3" s="30" t="s">
        <v>103</v>
      </c>
    </row>
    <row r="4" spans="2:14" ht="15" customHeight="1">
      <c r="B4" s="19" t="s">
        <v>2</v>
      </c>
      <c r="C4" s="20" t="s">
        <v>3</v>
      </c>
      <c r="D4" s="21" t="s">
        <v>4</v>
      </c>
      <c r="E4" s="22" t="s">
        <v>5</v>
      </c>
      <c r="F4" s="22" t="s">
        <v>6</v>
      </c>
      <c r="G4" s="21" t="s">
        <v>7</v>
      </c>
      <c r="H4" s="23" t="s">
        <v>8</v>
      </c>
      <c r="I4" s="23" t="s">
        <v>9</v>
      </c>
      <c r="J4" s="21" t="s">
        <v>10</v>
      </c>
      <c r="K4" s="21" t="s">
        <v>11</v>
      </c>
      <c r="L4" s="21" t="s">
        <v>12</v>
      </c>
      <c r="M4" s="23" t="s">
        <v>13</v>
      </c>
      <c r="N4" s="8"/>
    </row>
    <row r="5" spans="2:14" ht="15" customHeight="1">
      <c r="B5" s="24">
        <v>2019</v>
      </c>
      <c r="C5" s="18" t="s">
        <v>104</v>
      </c>
      <c r="D5" s="24">
        <v>4</v>
      </c>
      <c r="E5" s="25">
        <v>0.308</v>
      </c>
      <c r="F5" s="25">
        <v>0.8</v>
      </c>
      <c r="G5" s="24">
        <v>1</v>
      </c>
      <c r="H5" s="26">
        <v>1.3</v>
      </c>
      <c r="I5" s="26">
        <v>0.8</v>
      </c>
      <c r="J5" s="24">
        <v>1</v>
      </c>
      <c r="K5" s="24">
        <v>0</v>
      </c>
      <c r="L5" s="24">
        <v>13</v>
      </c>
      <c r="M5" s="26">
        <f>L5/D5</f>
        <v>3.25</v>
      </c>
      <c r="N5" s="12"/>
    </row>
    <row r="6" spans="2:14" ht="15" customHeight="1">
      <c r="B6" s="27" t="s">
        <v>15</v>
      </c>
      <c r="C6" s="18" t="s">
        <v>18</v>
      </c>
      <c r="D6" s="24">
        <v>145</v>
      </c>
      <c r="E6" s="25">
        <v>0.33900000000000002</v>
      </c>
      <c r="F6" s="25">
        <v>0.84</v>
      </c>
      <c r="G6" s="24">
        <v>174</v>
      </c>
      <c r="H6" s="26">
        <v>1.7</v>
      </c>
      <c r="I6" s="26">
        <v>1.7</v>
      </c>
      <c r="J6" s="24">
        <v>109</v>
      </c>
      <c r="K6" s="24">
        <v>13</v>
      </c>
      <c r="L6" s="24">
        <v>1285</v>
      </c>
      <c r="M6" s="26">
        <f>L6/D6</f>
        <v>8.862068965517242</v>
      </c>
      <c r="N6" s="12"/>
    </row>
    <row r="7" spans="2:14" ht="15" customHeight="1">
      <c r="B7" s="29"/>
    </row>
    <row r="8" spans="2:14" ht="15" customHeight="1">
      <c r="B8" s="30" t="s">
        <v>105</v>
      </c>
    </row>
    <row r="9" spans="2:14" ht="15" customHeight="1">
      <c r="B9" s="19" t="s">
        <v>2</v>
      </c>
      <c r="C9" s="20" t="s">
        <v>3</v>
      </c>
      <c r="D9" s="21" t="s">
        <v>4</v>
      </c>
      <c r="E9" s="22" t="s">
        <v>5</v>
      </c>
      <c r="F9" s="22" t="s">
        <v>6</v>
      </c>
      <c r="G9" s="21" t="s">
        <v>7</v>
      </c>
      <c r="H9" s="23" t="s">
        <v>8</v>
      </c>
      <c r="I9" s="23" t="s">
        <v>9</v>
      </c>
      <c r="J9" s="21" t="s">
        <v>10</v>
      </c>
      <c r="K9" s="21" t="s">
        <v>11</v>
      </c>
      <c r="L9" s="21" t="s">
        <v>12</v>
      </c>
      <c r="M9" s="23" t="s">
        <v>13</v>
      </c>
      <c r="N9" s="8"/>
    </row>
    <row r="10" spans="2:14" ht="15" customHeight="1">
      <c r="B10" s="24">
        <v>2019</v>
      </c>
      <c r="C10" s="18" t="s">
        <v>104</v>
      </c>
      <c r="D10" s="24">
        <v>29</v>
      </c>
      <c r="E10" s="25">
        <v>0.46800000000000003</v>
      </c>
      <c r="F10" s="25">
        <v>0.64300000000000002</v>
      </c>
      <c r="G10" s="24">
        <v>1</v>
      </c>
      <c r="H10" s="26">
        <v>3.8</v>
      </c>
      <c r="I10" s="26">
        <v>0.6</v>
      </c>
      <c r="J10" s="24">
        <v>17</v>
      </c>
      <c r="K10" s="24">
        <v>18</v>
      </c>
      <c r="L10" s="24">
        <v>112</v>
      </c>
      <c r="M10" s="26">
        <f>L10/D10</f>
        <v>3.8620689655172415</v>
      </c>
      <c r="N10" s="12"/>
    </row>
    <row r="11" spans="2:14" ht="15" customHeight="1">
      <c r="B11" s="27" t="s">
        <v>15</v>
      </c>
      <c r="C11" s="18" t="s">
        <v>31</v>
      </c>
      <c r="D11" s="24">
        <v>121</v>
      </c>
      <c r="E11" s="25">
        <v>0.49299999999999999</v>
      </c>
      <c r="F11" s="25">
        <v>0.627</v>
      </c>
      <c r="G11" s="24">
        <v>2</v>
      </c>
      <c r="H11" s="26">
        <v>4.2</v>
      </c>
      <c r="I11" s="26">
        <v>0.6</v>
      </c>
      <c r="J11" s="24">
        <v>58</v>
      </c>
      <c r="K11" s="24">
        <v>95</v>
      </c>
      <c r="L11" s="24">
        <v>534</v>
      </c>
      <c r="M11" s="26">
        <f>L11/D11</f>
        <v>4.4132231404958677</v>
      </c>
      <c r="N11" s="12"/>
    </row>
    <row r="12" spans="2:14" ht="15" customHeight="1">
      <c r="B12" s="9"/>
      <c r="D12" s="10"/>
      <c r="E12" s="11"/>
      <c r="F12" s="11"/>
      <c r="G12" s="10"/>
      <c r="H12" s="12"/>
      <c r="I12" s="12"/>
      <c r="J12" s="10"/>
      <c r="K12" s="10"/>
      <c r="L12" s="10"/>
      <c r="M12" s="12"/>
      <c r="N12" s="12"/>
    </row>
    <row r="13" spans="2:14" ht="15" customHeight="1">
      <c r="B13" s="30" t="s">
        <v>106</v>
      </c>
    </row>
    <row r="14" spans="2:14" ht="15" customHeight="1">
      <c r="B14" s="19" t="s">
        <v>2</v>
      </c>
      <c r="C14" s="20" t="s">
        <v>3</v>
      </c>
      <c r="D14" s="21" t="s">
        <v>4</v>
      </c>
      <c r="E14" s="22" t="s">
        <v>5</v>
      </c>
      <c r="F14" s="22" t="s">
        <v>6</v>
      </c>
      <c r="G14" s="21" t="s">
        <v>7</v>
      </c>
      <c r="H14" s="23" t="s">
        <v>8</v>
      </c>
      <c r="I14" s="23" t="s">
        <v>9</v>
      </c>
      <c r="J14" s="21" t="s">
        <v>10</v>
      </c>
      <c r="K14" s="21" t="s">
        <v>11</v>
      </c>
      <c r="L14" s="21" t="s">
        <v>12</v>
      </c>
      <c r="M14" s="23" t="s">
        <v>13</v>
      </c>
      <c r="N14" s="8"/>
    </row>
    <row r="15" spans="2:14" ht="15" customHeight="1">
      <c r="B15" s="24">
        <v>2021</v>
      </c>
      <c r="C15" s="18" t="s">
        <v>58</v>
      </c>
      <c r="D15" s="24">
        <v>20</v>
      </c>
      <c r="E15" s="25">
        <v>0.39700000000000002</v>
      </c>
      <c r="F15" s="25">
        <v>0.94099999999999995</v>
      </c>
      <c r="G15" s="24">
        <v>8</v>
      </c>
      <c r="H15" s="26">
        <v>4.8</v>
      </c>
      <c r="I15" s="26">
        <v>0.4</v>
      </c>
      <c r="J15" s="24">
        <v>7</v>
      </c>
      <c r="K15" s="24">
        <v>16</v>
      </c>
      <c r="L15" s="24">
        <v>132</v>
      </c>
      <c r="M15" s="26">
        <f>L15/D15</f>
        <v>6.6</v>
      </c>
      <c r="N15" s="12"/>
    </row>
    <row r="16" spans="2:14" ht="15" customHeight="1">
      <c r="B16" s="27" t="s">
        <v>15</v>
      </c>
      <c r="C16" s="18" t="s">
        <v>71</v>
      </c>
      <c r="D16" s="24">
        <v>114</v>
      </c>
      <c r="E16" s="25">
        <v>0.42399999999999999</v>
      </c>
      <c r="F16" s="25">
        <v>0.83199999999999996</v>
      </c>
      <c r="G16" s="24">
        <v>57</v>
      </c>
      <c r="H16" s="26">
        <v>3.3</v>
      </c>
      <c r="I16" s="26">
        <v>0.4</v>
      </c>
      <c r="J16" s="24">
        <v>38</v>
      </c>
      <c r="K16" s="24">
        <v>74</v>
      </c>
      <c r="L16" s="24">
        <v>619</v>
      </c>
      <c r="M16" s="26">
        <f>L16/D16</f>
        <v>5.4298245614035086</v>
      </c>
      <c r="N16" s="12"/>
    </row>
    <row r="17" spans="2:14" ht="15" customHeight="1">
      <c r="B17" s="4"/>
      <c r="C17" s="5"/>
      <c r="D17" s="6"/>
      <c r="E17" s="7"/>
      <c r="F17" s="7"/>
      <c r="G17" s="6"/>
      <c r="H17" s="8"/>
      <c r="I17" s="8"/>
      <c r="J17" s="6"/>
      <c r="K17" s="6"/>
      <c r="L17" s="6"/>
      <c r="M17" s="8"/>
      <c r="N17" s="8"/>
    </row>
    <row r="18" spans="2:14" ht="15" customHeight="1">
      <c r="B18" s="30" t="s">
        <v>107</v>
      </c>
    </row>
    <row r="19" spans="2:14" ht="15" customHeight="1">
      <c r="B19" s="19" t="s">
        <v>2</v>
      </c>
      <c r="C19" s="20" t="s">
        <v>3</v>
      </c>
      <c r="D19" s="21" t="s">
        <v>4</v>
      </c>
      <c r="E19" s="22" t="s">
        <v>5</v>
      </c>
      <c r="F19" s="22" t="s">
        <v>6</v>
      </c>
      <c r="G19" s="21" t="s">
        <v>7</v>
      </c>
      <c r="H19" s="23" t="s">
        <v>8</v>
      </c>
      <c r="I19" s="23" t="s">
        <v>9</v>
      </c>
      <c r="J19" s="21" t="s">
        <v>10</v>
      </c>
      <c r="K19" s="21" t="s">
        <v>11</v>
      </c>
      <c r="L19" s="21" t="s">
        <v>12</v>
      </c>
      <c r="M19" s="23" t="s">
        <v>13</v>
      </c>
      <c r="N19" s="8"/>
    </row>
    <row r="20" spans="2:14" ht="15" customHeight="1">
      <c r="B20" s="24">
        <v>2024</v>
      </c>
      <c r="C20" s="18" t="s">
        <v>104</v>
      </c>
      <c r="D20" s="24">
        <v>38</v>
      </c>
      <c r="E20" s="25">
        <v>0.38300000000000001</v>
      </c>
      <c r="F20" s="25">
        <v>0.92100000000000004</v>
      </c>
      <c r="G20" s="24">
        <v>112</v>
      </c>
      <c r="H20" s="26">
        <v>4.5999999999999996</v>
      </c>
      <c r="I20" s="26">
        <v>5.0999999999999996</v>
      </c>
      <c r="J20" s="24">
        <v>81</v>
      </c>
      <c r="K20" s="24">
        <v>11</v>
      </c>
      <c r="L20" s="24">
        <v>845</v>
      </c>
      <c r="M20" s="26">
        <f>L20/D20</f>
        <v>22.236842105263158</v>
      </c>
      <c r="N20" s="12"/>
    </row>
    <row r="21" spans="2:14" ht="15" customHeight="1">
      <c r="B21" s="27" t="s">
        <v>15</v>
      </c>
      <c r="C21" s="18" t="s">
        <v>71</v>
      </c>
      <c r="D21" s="24">
        <v>195</v>
      </c>
      <c r="E21" s="25">
        <v>0.39300000000000002</v>
      </c>
      <c r="F21" s="25">
        <v>0.85799999999999998</v>
      </c>
      <c r="G21" s="24">
        <v>497</v>
      </c>
      <c r="H21" s="26">
        <v>3.3</v>
      </c>
      <c r="I21" s="26">
        <v>3.9</v>
      </c>
      <c r="J21" s="24">
        <v>300</v>
      </c>
      <c r="K21" s="24">
        <v>19</v>
      </c>
      <c r="L21" s="24">
        <v>4014</v>
      </c>
      <c r="M21" s="26">
        <f>L21/D21</f>
        <v>20.584615384615386</v>
      </c>
      <c r="N21" s="12"/>
    </row>
    <row r="22" spans="2:14" ht="15" customHeight="1">
      <c r="B22" s="29"/>
    </row>
    <row r="23" spans="2:14" ht="15" customHeight="1">
      <c r="B23" s="30" t="s">
        <v>108</v>
      </c>
    </row>
    <row r="24" spans="2:14" ht="15" customHeight="1">
      <c r="B24" s="19" t="s">
        <v>2</v>
      </c>
      <c r="C24" s="20" t="s">
        <v>3</v>
      </c>
      <c r="D24" s="21" t="s">
        <v>4</v>
      </c>
      <c r="E24" s="22" t="s">
        <v>5</v>
      </c>
      <c r="F24" s="22" t="s">
        <v>6</v>
      </c>
      <c r="G24" s="21" t="s">
        <v>7</v>
      </c>
      <c r="H24" s="23" t="s">
        <v>8</v>
      </c>
      <c r="I24" s="23" t="s">
        <v>9</v>
      </c>
      <c r="J24" s="21" t="s">
        <v>10</v>
      </c>
      <c r="K24" s="21" t="s">
        <v>11</v>
      </c>
      <c r="L24" s="21" t="s">
        <v>12</v>
      </c>
      <c r="M24" s="23" t="s">
        <v>13</v>
      </c>
      <c r="N24" s="8"/>
    </row>
    <row r="25" spans="2:14" ht="15" customHeight="1">
      <c r="B25" s="24">
        <v>2024</v>
      </c>
      <c r="C25" s="18" t="s">
        <v>104</v>
      </c>
      <c r="D25" s="24">
        <v>15</v>
      </c>
      <c r="E25" s="25">
        <v>0.42599999999999999</v>
      </c>
      <c r="F25" s="25">
        <v>0.77900000000000003</v>
      </c>
      <c r="G25" s="24">
        <v>38</v>
      </c>
      <c r="H25" s="26">
        <v>6.4</v>
      </c>
      <c r="I25" s="26">
        <v>5</v>
      </c>
      <c r="J25" s="24">
        <v>19</v>
      </c>
      <c r="K25" s="24">
        <v>8</v>
      </c>
      <c r="L25" s="24">
        <v>269</v>
      </c>
      <c r="M25" s="26">
        <f>L25/D25</f>
        <v>17.933333333333334</v>
      </c>
      <c r="N25" s="12"/>
    </row>
    <row r="26" spans="2:14" ht="15" customHeight="1">
      <c r="B26" s="27" t="s">
        <v>15</v>
      </c>
      <c r="C26" s="18" t="s">
        <v>33</v>
      </c>
      <c r="D26" s="24">
        <v>97</v>
      </c>
      <c r="E26" s="25">
        <v>0.41799999999999998</v>
      </c>
      <c r="F26" s="25">
        <v>0.84799999999999998</v>
      </c>
      <c r="G26" s="24">
        <v>145</v>
      </c>
      <c r="H26" s="26">
        <v>7</v>
      </c>
      <c r="I26" s="26">
        <v>3.6</v>
      </c>
      <c r="J26" s="24">
        <v>110</v>
      </c>
      <c r="K26" s="24">
        <v>54</v>
      </c>
      <c r="L26" s="24">
        <v>1525</v>
      </c>
      <c r="M26" s="26">
        <f>L26/D26</f>
        <v>15.721649484536082</v>
      </c>
      <c r="N26" s="12"/>
    </row>
    <row r="27" spans="2:14" ht="15" customHeight="1">
      <c r="B27" s="29"/>
    </row>
    <row r="28" spans="2:14" ht="15" customHeight="1">
      <c r="B28" s="30" t="s">
        <v>109</v>
      </c>
    </row>
    <row r="29" spans="2:14" ht="15" customHeight="1">
      <c r="B29" s="19" t="s">
        <v>2</v>
      </c>
      <c r="C29" s="20" t="s">
        <v>3</v>
      </c>
      <c r="D29" s="21" t="s">
        <v>4</v>
      </c>
      <c r="E29" s="22" t="s">
        <v>5</v>
      </c>
      <c r="F29" s="22" t="s">
        <v>6</v>
      </c>
      <c r="G29" s="21" t="s">
        <v>7</v>
      </c>
      <c r="H29" s="23" t="s">
        <v>8</v>
      </c>
      <c r="I29" s="23" t="s">
        <v>9</v>
      </c>
      <c r="J29" s="21" t="s">
        <v>10</v>
      </c>
      <c r="K29" s="21" t="s">
        <v>11</v>
      </c>
      <c r="L29" s="21" t="s">
        <v>12</v>
      </c>
      <c r="M29" s="23" t="s">
        <v>13</v>
      </c>
      <c r="N29" s="8"/>
    </row>
    <row r="30" spans="2:14" ht="15" customHeight="1">
      <c r="B30" s="24">
        <v>2022</v>
      </c>
      <c r="C30" s="18" t="s">
        <v>104</v>
      </c>
      <c r="D30" s="24">
        <v>33</v>
      </c>
      <c r="E30" s="25">
        <v>0.39500000000000002</v>
      </c>
      <c r="F30" s="25">
        <v>0.61299999999999999</v>
      </c>
      <c r="G30" s="24">
        <v>4</v>
      </c>
      <c r="H30" s="26">
        <v>2.5</v>
      </c>
      <c r="I30" s="26">
        <v>0.9</v>
      </c>
      <c r="J30" s="24">
        <v>13</v>
      </c>
      <c r="K30" s="24">
        <v>29</v>
      </c>
      <c r="L30" s="24">
        <v>91</v>
      </c>
      <c r="M30" s="26">
        <f>L30/D30</f>
        <v>2.7575757575757578</v>
      </c>
      <c r="N30" s="12"/>
    </row>
    <row r="31" spans="2:14" ht="15" customHeight="1">
      <c r="B31" s="27" t="s">
        <v>15</v>
      </c>
      <c r="C31" s="18" t="s">
        <v>38</v>
      </c>
      <c r="D31" s="24">
        <v>49</v>
      </c>
      <c r="E31" s="25">
        <v>0.36799999999999999</v>
      </c>
      <c r="F31" s="25">
        <v>0.66700000000000004</v>
      </c>
      <c r="G31" s="24">
        <v>7</v>
      </c>
      <c r="H31" s="26">
        <v>2.5</v>
      </c>
      <c r="I31" s="26">
        <v>0.8</v>
      </c>
      <c r="J31" s="24">
        <v>18</v>
      </c>
      <c r="K31" s="24">
        <v>41</v>
      </c>
      <c r="L31" s="24">
        <v>129</v>
      </c>
      <c r="M31" s="26">
        <f>L31/D31</f>
        <v>2.6326530612244898</v>
      </c>
      <c r="N31" s="12"/>
    </row>
    <row r="32" spans="2:14" ht="15" customHeight="1">
      <c r="B32" s="29"/>
    </row>
    <row r="33" spans="2:14" ht="15" customHeight="1">
      <c r="B33" s="30" t="s">
        <v>110</v>
      </c>
    </row>
    <row r="34" spans="2:14" ht="15" customHeight="1">
      <c r="B34" s="19" t="s">
        <v>2</v>
      </c>
      <c r="C34" s="20" t="s">
        <v>3</v>
      </c>
      <c r="D34" s="21" t="s">
        <v>4</v>
      </c>
      <c r="E34" s="22" t="s">
        <v>5</v>
      </c>
      <c r="F34" s="22" t="s">
        <v>6</v>
      </c>
      <c r="G34" s="21" t="s">
        <v>7</v>
      </c>
      <c r="H34" s="23" t="s">
        <v>8</v>
      </c>
      <c r="I34" s="23" t="s">
        <v>9</v>
      </c>
      <c r="J34" s="21" t="s">
        <v>10</v>
      </c>
      <c r="K34" s="21" t="s">
        <v>11</v>
      </c>
      <c r="L34" s="21" t="s">
        <v>12</v>
      </c>
      <c r="M34" s="23" t="s">
        <v>13</v>
      </c>
      <c r="N34" s="8"/>
    </row>
    <row r="35" spans="2:14" ht="15" customHeight="1">
      <c r="B35" s="24">
        <v>2021</v>
      </c>
      <c r="C35" s="18" t="s">
        <v>104</v>
      </c>
      <c r="D35" s="24">
        <v>28</v>
      </c>
      <c r="E35" s="25">
        <v>0.46500000000000002</v>
      </c>
      <c r="F35" s="25">
        <v>0.69599999999999995</v>
      </c>
      <c r="G35" s="24">
        <v>0</v>
      </c>
      <c r="H35" s="26">
        <v>3.6</v>
      </c>
      <c r="I35" s="26">
        <v>0.2</v>
      </c>
      <c r="J35" s="24">
        <v>4</v>
      </c>
      <c r="K35" s="24">
        <v>5</v>
      </c>
      <c r="L35" s="24">
        <v>96</v>
      </c>
      <c r="M35" s="26">
        <f>L35/D35</f>
        <v>3.4285714285714284</v>
      </c>
      <c r="N35" s="12"/>
    </row>
    <row r="36" spans="2:14" ht="15" customHeight="1">
      <c r="B36" s="27" t="s">
        <v>15</v>
      </c>
      <c r="C36" s="18" t="s">
        <v>40</v>
      </c>
      <c r="D36" s="24">
        <v>28</v>
      </c>
      <c r="E36" s="25">
        <v>0.46500000000000002</v>
      </c>
      <c r="F36" s="25">
        <v>0.69599999999999995</v>
      </c>
      <c r="G36" s="24">
        <v>0</v>
      </c>
      <c r="H36" s="26">
        <v>3.6</v>
      </c>
      <c r="I36" s="26">
        <v>0.2</v>
      </c>
      <c r="J36" s="24">
        <v>4</v>
      </c>
      <c r="K36" s="24">
        <v>5</v>
      </c>
      <c r="L36" s="24">
        <v>96</v>
      </c>
      <c r="M36" s="26">
        <f>L36/D36</f>
        <v>3.4285714285714284</v>
      </c>
      <c r="N36" s="12"/>
    </row>
    <row r="37" spans="2:14" ht="15" customHeight="1">
      <c r="B37" s="29"/>
    </row>
    <row r="38" spans="2:14" ht="15" customHeight="1">
      <c r="B38" s="30" t="s">
        <v>111</v>
      </c>
    </row>
    <row r="39" spans="2:14" ht="15" customHeight="1">
      <c r="B39" s="19" t="s">
        <v>2</v>
      </c>
      <c r="C39" s="20" t="s">
        <v>3</v>
      </c>
      <c r="D39" s="21" t="s">
        <v>4</v>
      </c>
      <c r="E39" s="22" t="s">
        <v>5</v>
      </c>
      <c r="F39" s="22" t="s">
        <v>6</v>
      </c>
      <c r="G39" s="21" t="s">
        <v>7</v>
      </c>
      <c r="H39" s="23" t="s">
        <v>8</v>
      </c>
      <c r="I39" s="23" t="s">
        <v>9</v>
      </c>
      <c r="J39" s="21" t="s">
        <v>10</v>
      </c>
      <c r="K39" s="21" t="s">
        <v>11</v>
      </c>
      <c r="L39" s="21" t="s">
        <v>12</v>
      </c>
      <c r="M39" s="23" t="s">
        <v>13</v>
      </c>
      <c r="N39" s="8"/>
    </row>
    <row r="40" spans="2:14" ht="15" customHeight="1">
      <c r="B40" s="24">
        <v>2021</v>
      </c>
      <c r="C40" s="18" t="s">
        <v>104</v>
      </c>
      <c r="D40" s="24">
        <v>31</v>
      </c>
      <c r="E40" s="25">
        <v>0.5</v>
      </c>
      <c r="F40" s="25">
        <v>0.85</v>
      </c>
      <c r="G40" s="24">
        <v>0</v>
      </c>
      <c r="H40" s="26">
        <v>3.3</v>
      </c>
      <c r="I40" s="26">
        <v>0.5</v>
      </c>
      <c r="J40" s="24">
        <v>18</v>
      </c>
      <c r="K40" s="24">
        <v>20</v>
      </c>
      <c r="L40" s="24">
        <v>81</v>
      </c>
      <c r="M40" s="26">
        <f>L40/D40</f>
        <v>2.6129032258064515</v>
      </c>
      <c r="N40" s="12"/>
    </row>
    <row r="41" spans="2:14" ht="15" customHeight="1">
      <c r="B41" s="27" t="s">
        <v>15</v>
      </c>
      <c r="C41" s="18" t="s">
        <v>38</v>
      </c>
      <c r="D41" s="24">
        <v>53</v>
      </c>
      <c r="E41" s="25">
        <v>0.43099999999999999</v>
      </c>
      <c r="F41" s="25">
        <v>0.84399999999999997</v>
      </c>
      <c r="G41" s="24">
        <v>1</v>
      </c>
      <c r="H41" s="26">
        <v>3.1</v>
      </c>
      <c r="I41" s="26">
        <v>0.5</v>
      </c>
      <c r="J41" s="24">
        <v>32</v>
      </c>
      <c r="K41" s="24">
        <v>38</v>
      </c>
      <c r="L41" s="24">
        <v>140</v>
      </c>
      <c r="M41" s="26">
        <f>L41/D41</f>
        <v>2.641509433962264</v>
      </c>
      <c r="N41" s="12"/>
    </row>
    <row r="42" spans="2:14" s="28" customFormat="1" ht="15" customHeight="1">
      <c r="B42" s="9"/>
      <c r="C42" s="1"/>
      <c r="D42" s="10"/>
      <c r="E42" s="11"/>
      <c r="F42" s="11"/>
      <c r="G42" s="10"/>
      <c r="H42" s="12"/>
      <c r="I42" s="12"/>
      <c r="J42" s="10"/>
      <c r="K42" s="10"/>
      <c r="L42" s="10"/>
      <c r="M42" s="12"/>
      <c r="N42" s="12"/>
    </row>
    <row r="43" spans="2:14" ht="15" customHeight="1">
      <c r="B43" s="30" t="s">
        <v>112</v>
      </c>
    </row>
    <row r="44" spans="2:14" ht="15" customHeight="1">
      <c r="B44" s="19" t="s">
        <v>2</v>
      </c>
      <c r="C44" s="20" t="s">
        <v>3</v>
      </c>
      <c r="D44" s="21" t="s">
        <v>4</v>
      </c>
      <c r="E44" s="22" t="s">
        <v>5</v>
      </c>
      <c r="F44" s="22" t="s">
        <v>6</v>
      </c>
      <c r="G44" s="21" t="s">
        <v>7</v>
      </c>
      <c r="H44" s="23" t="s">
        <v>8</v>
      </c>
      <c r="I44" s="23" t="s">
        <v>9</v>
      </c>
      <c r="J44" s="21" t="s">
        <v>10</v>
      </c>
      <c r="K44" s="21" t="s">
        <v>11</v>
      </c>
      <c r="L44" s="21" t="s">
        <v>12</v>
      </c>
      <c r="M44" s="23" t="s">
        <v>13</v>
      </c>
      <c r="N44" s="8"/>
    </row>
    <row r="45" spans="2:14" ht="15" customHeight="1">
      <c r="B45" s="24">
        <v>2021</v>
      </c>
      <c r="C45" s="18" t="s">
        <v>104</v>
      </c>
      <c r="D45" s="24">
        <v>14</v>
      </c>
      <c r="E45" s="25">
        <v>0.17599999999999999</v>
      </c>
      <c r="F45" s="25">
        <v>0</v>
      </c>
      <c r="G45" s="24">
        <v>2</v>
      </c>
      <c r="H45" s="26">
        <v>0.2</v>
      </c>
      <c r="I45" s="26">
        <v>0.1</v>
      </c>
      <c r="J45" s="24">
        <v>0</v>
      </c>
      <c r="K45" s="24">
        <v>1</v>
      </c>
      <c r="L45" s="24">
        <v>8</v>
      </c>
      <c r="M45" s="26">
        <f>L45/D45</f>
        <v>0.5714285714285714</v>
      </c>
      <c r="N45" s="12"/>
    </row>
    <row r="46" spans="2:14" ht="15" customHeight="1">
      <c r="B46" s="27" t="s">
        <v>15</v>
      </c>
      <c r="C46" s="18" t="s">
        <v>40</v>
      </c>
      <c r="D46" s="24">
        <v>14</v>
      </c>
      <c r="E46" s="25">
        <v>0.17599999999999999</v>
      </c>
      <c r="F46" s="25">
        <v>0</v>
      </c>
      <c r="G46" s="24">
        <v>2</v>
      </c>
      <c r="H46" s="26">
        <v>0.2</v>
      </c>
      <c r="I46" s="26">
        <v>0.1</v>
      </c>
      <c r="J46" s="24">
        <v>0</v>
      </c>
      <c r="K46" s="24">
        <v>1</v>
      </c>
      <c r="L46" s="24">
        <v>8</v>
      </c>
      <c r="M46" s="26">
        <f>L46/D46</f>
        <v>0.5714285714285714</v>
      </c>
      <c r="N46" s="12"/>
    </row>
    <row r="47" spans="2:14" ht="15" customHeight="1">
      <c r="B47" s="29"/>
    </row>
    <row r="48" spans="2:14" ht="15" customHeight="1">
      <c r="B48" s="30" t="s">
        <v>113</v>
      </c>
    </row>
    <row r="49" spans="2:14" ht="15" customHeight="1">
      <c r="B49" s="19" t="s">
        <v>2</v>
      </c>
      <c r="C49" s="20" t="s">
        <v>3</v>
      </c>
      <c r="D49" s="21" t="s">
        <v>4</v>
      </c>
      <c r="E49" s="22" t="s">
        <v>5</v>
      </c>
      <c r="F49" s="22" t="s">
        <v>6</v>
      </c>
      <c r="G49" s="21" t="s">
        <v>7</v>
      </c>
      <c r="H49" s="23" t="s">
        <v>8</v>
      </c>
      <c r="I49" s="23" t="s">
        <v>9</v>
      </c>
      <c r="J49" s="21" t="s">
        <v>10</v>
      </c>
      <c r="K49" s="21" t="s">
        <v>11</v>
      </c>
      <c r="L49" s="21" t="s">
        <v>12</v>
      </c>
      <c r="M49" s="23" t="s">
        <v>13</v>
      </c>
      <c r="N49" s="8"/>
    </row>
    <row r="50" spans="2:14" ht="15" customHeight="1">
      <c r="B50" s="24">
        <v>2024</v>
      </c>
      <c r="C50" s="18" t="s">
        <v>104</v>
      </c>
      <c r="D50" s="24">
        <v>39</v>
      </c>
      <c r="E50" s="25">
        <v>0.56999999999999995</v>
      </c>
      <c r="F50" s="25">
        <v>0.71799999999999997</v>
      </c>
      <c r="G50" s="24">
        <v>1</v>
      </c>
      <c r="H50" s="26">
        <v>8.1</v>
      </c>
      <c r="I50" s="26">
        <v>1.6</v>
      </c>
      <c r="J50" s="24">
        <v>35</v>
      </c>
      <c r="K50" s="24">
        <v>34</v>
      </c>
      <c r="L50" s="24">
        <v>458</v>
      </c>
      <c r="M50" s="26">
        <f>L50/D50</f>
        <v>11.743589743589743</v>
      </c>
      <c r="N50" s="12"/>
    </row>
    <row r="51" spans="2:14" ht="15" customHeight="1">
      <c r="B51" s="27" t="s">
        <v>15</v>
      </c>
      <c r="C51" s="18" t="s">
        <v>71</v>
      </c>
      <c r="D51" s="24">
        <v>190</v>
      </c>
      <c r="E51" s="25">
        <v>0.55400000000000005</v>
      </c>
      <c r="F51" s="25">
        <v>0.66100000000000003</v>
      </c>
      <c r="G51" s="24">
        <v>1</v>
      </c>
      <c r="H51" s="26">
        <v>8.4</v>
      </c>
      <c r="I51" s="26">
        <v>1</v>
      </c>
      <c r="J51" s="24">
        <v>107</v>
      </c>
      <c r="K51" s="24">
        <v>208</v>
      </c>
      <c r="L51" s="24">
        <v>2120</v>
      </c>
      <c r="M51" s="26">
        <f>L51/D51</f>
        <v>11.157894736842104</v>
      </c>
      <c r="N51" s="12"/>
    </row>
    <row r="52" spans="2:14" ht="15" customHeight="1">
      <c r="D52" s="14"/>
    </row>
    <row r="53" spans="2:14" ht="15" customHeight="1">
      <c r="B53" s="30" t="s">
        <v>114</v>
      </c>
    </row>
    <row r="54" spans="2:14" ht="15" customHeight="1">
      <c r="B54" s="19" t="s">
        <v>2</v>
      </c>
      <c r="C54" s="20" t="s">
        <v>3</v>
      </c>
      <c r="D54" s="21" t="s">
        <v>4</v>
      </c>
      <c r="E54" s="22" t="s">
        <v>5</v>
      </c>
      <c r="F54" s="22" t="s">
        <v>6</v>
      </c>
      <c r="G54" s="21" t="s">
        <v>7</v>
      </c>
      <c r="H54" s="23" t="s">
        <v>8</v>
      </c>
      <c r="I54" s="23" t="s">
        <v>9</v>
      </c>
      <c r="J54" s="21" t="s">
        <v>10</v>
      </c>
      <c r="K54" s="21" t="s">
        <v>11</v>
      </c>
      <c r="L54" s="21" t="s">
        <v>12</v>
      </c>
      <c r="M54" s="23" t="s">
        <v>13</v>
      </c>
      <c r="N54" s="8"/>
    </row>
    <row r="55" spans="2:14" ht="15" customHeight="1">
      <c r="B55" s="24">
        <v>2023</v>
      </c>
      <c r="C55" s="18" t="s">
        <v>104</v>
      </c>
      <c r="D55" s="24">
        <v>35</v>
      </c>
      <c r="E55" s="25">
        <v>0.42499999999999999</v>
      </c>
      <c r="F55" s="25">
        <v>0.81499999999999995</v>
      </c>
      <c r="G55" s="24">
        <v>27</v>
      </c>
      <c r="H55" s="26">
        <v>2.9</v>
      </c>
      <c r="I55" s="26">
        <v>3.1</v>
      </c>
      <c r="J55" s="24">
        <v>33</v>
      </c>
      <c r="K55" s="24">
        <v>7</v>
      </c>
      <c r="L55" s="24">
        <v>287</v>
      </c>
      <c r="M55" s="26">
        <f>L55/D55</f>
        <v>8.1999999999999993</v>
      </c>
      <c r="N55" s="12"/>
    </row>
    <row r="56" spans="2:14" ht="15" customHeight="1">
      <c r="B56" s="27" t="s">
        <v>15</v>
      </c>
      <c r="C56" s="18" t="s">
        <v>31</v>
      </c>
      <c r="D56" s="24">
        <v>120</v>
      </c>
      <c r="E56" s="25">
        <v>0.42399999999999999</v>
      </c>
      <c r="F56" s="25">
        <v>0.85</v>
      </c>
      <c r="G56" s="24">
        <v>112</v>
      </c>
      <c r="H56" s="26">
        <v>2.2000000000000002</v>
      </c>
      <c r="I56" s="26">
        <v>3</v>
      </c>
      <c r="J56" s="24">
        <v>90</v>
      </c>
      <c r="K56" s="24">
        <v>14</v>
      </c>
      <c r="L56" s="24">
        <v>1046</v>
      </c>
      <c r="M56" s="26">
        <f>L56/D56</f>
        <v>8.7166666666666668</v>
      </c>
      <c r="N56" s="12"/>
    </row>
    <row r="57" spans="2:14" ht="15" customHeight="1">
      <c r="B57" s="29"/>
    </row>
    <row r="58" spans="2:14" ht="15" customHeight="1">
      <c r="B58" s="30" t="s">
        <v>115</v>
      </c>
    </row>
    <row r="59" spans="2:14" ht="15" customHeight="1">
      <c r="B59" s="19" t="s">
        <v>2</v>
      </c>
      <c r="C59" s="20" t="s">
        <v>3</v>
      </c>
      <c r="D59" s="21" t="s">
        <v>4</v>
      </c>
      <c r="E59" s="22" t="s">
        <v>5</v>
      </c>
      <c r="F59" s="22" t="s">
        <v>6</v>
      </c>
      <c r="G59" s="21" t="s">
        <v>7</v>
      </c>
      <c r="H59" s="23" t="s">
        <v>8</v>
      </c>
      <c r="I59" s="23" t="s">
        <v>9</v>
      </c>
      <c r="J59" s="21" t="s">
        <v>10</v>
      </c>
      <c r="K59" s="21" t="s">
        <v>11</v>
      </c>
      <c r="L59" s="21" t="s">
        <v>12</v>
      </c>
      <c r="M59" s="23" t="s">
        <v>13</v>
      </c>
      <c r="N59" s="8"/>
    </row>
    <row r="60" spans="2:14" ht="15" customHeight="1">
      <c r="B60" s="24">
        <v>2024</v>
      </c>
      <c r="C60" s="18" t="s">
        <v>104</v>
      </c>
      <c r="D60" s="24">
        <v>39</v>
      </c>
      <c r="E60" s="25">
        <v>0.58199999999999996</v>
      </c>
      <c r="F60" s="25">
        <v>0.86099999999999999</v>
      </c>
      <c r="G60" s="24">
        <v>0</v>
      </c>
      <c r="H60" s="26">
        <v>3.1</v>
      </c>
      <c r="I60" s="26">
        <v>1.1000000000000001</v>
      </c>
      <c r="J60" s="24">
        <v>7</v>
      </c>
      <c r="K60" s="24">
        <v>22</v>
      </c>
      <c r="L60" s="24">
        <v>223</v>
      </c>
      <c r="M60" s="26">
        <f>L60/D60</f>
        <v>5.7179487179487181</v>
      </c>
      <c r="N60" s="12"/>
    </row>
    <row r="61" spans="2:14" ht="15" customHeight="1">
      <c r="B61" s="27" t="s">
        <v>15</v>
      </c>
      <c r="C61" s="18" t="s">
        <v>33</v>
      </c>
      <c r="D61" s="24">
        <v>110</v>
      </c>
      <c r="E61" s="25">
        <v>0.56599999999999995</v>
      </c>
      <c r="F61" s="25">
        <v>0.746</v>
      </c>
      <c r="G61" s="24">
        <v>0</v>
      </c>
      <c r="H61" s="26">
        <v>3.4</v>
      </c>
      <c r="I61" s="26">
        <v>0.8</v>
      </c>
      <c r="J61" s="24">
        <v>24</v>
      </c>
      <c r="K61" s="24">
        <v>67</v>
      </c>
      <c r="L61" s="24">
        <v>648</v>
      </c>
      <c r="M61" s="26">
        <f>L61/D61</f>
        <v>5.8909090909090907</v>
      </c>
      <c r="N61" s="12"/>
    </row>
    <row r="62" spans="2:14" ht="15" customHeight="1">
      <c r="B62" s="29"/>
    </row>
    <row r="63" spans="2:14" ht="15" customHeight="1">
      <c r="B63" s="30" t="s">
        <v>116</v>
      </c>
    </row>
    <row r="64" spans="2:14" ht="15" customHeight="1">
      <c r="B64" s="19" t="s">
        <v>2</v>
      </c>
      <c r="C64" s="20" t="s">
        <v>3</v>
      </c>
      <c r="D64" s="21" t="s">
        <v>4</v>
      </c>
      <c r="E64" s="22" t="s">
        <v>5</v>
      </c>
      <c r="F64" s="22" t="s">
        <v>6</v>
      </c>
      <c r="G64" s="21" t="s">
        <v>7</v>
      </c>
      <c r="H64" s="23" t="s">
        <v>8</v>
      </c>
      <c r="I64" s="23" t="s">
        <v>9</v>
      </c>
      <c r="J64" s="21" t="s">
        <v>10</v>
      </c>
      <c r="K64" s="21" t="s">
        <v>11</v>
      </c>
      <c r="L64" s="21" t="s">
        <v>12</v>
      </c>
      <c r="M64" s="23" t="s">
        <v>13</v>
      </c>
      <c r="N64" s="8"/>
    </row>
    <row r="65" spans="2:14" ht="15" customHeight="1">
      <c r="B65" s="24">
        <v>2024</v>
      </c>
      <c r="C65" s="18" t="s">
        <v>104</v>
      </c>
      <c r="D65" s="24">
        <v>27</v>
      </c>
      <c r="E65" s="25">
        <v>0.505</v>
      </c>
      <c r="F65" s="25">
        <v>0.76700000000000002</v>
      </c>
      <c r="G65" s="24">
        <v>10</v>
      </c>
      <c r="H65" s="26">
        <v>3.3</v>
      </c>
      <c r="I65" s="26">
        <v>1</v>
      </c>
      <c r="J65" s="24">
        <v>10</v>
      </c>
      <c r="K65" s="24">
        <v>10</v>
      </c>
      <c r="L65" s="24">
        <v>255</v>
      </c>
      <c r="M65" s="26">
        <f>L65/D65</f>
        <v>9.4444444444444446</v>
      </c>
      <c r="N65" s="12"/>
    </row>
    <row r="66" spans="2:14" ht="15" customHeight="1">
      <c r="B66" s="27" t="s">
        <v>15</v>
      </c>
      <c r="C66" s="18" t="s">
        <v>38</v>
      </c>
      <c r="D66" s="24">
        <v>66</v>
      </c>
      <c r="E66" s="25">
        <v>0.50600000000000001</v>
      </c>
      <c r="F66" s="25">
        <v>0.83299999999999996</v>
      </c>
      <c r="G66" s="24">
        <v>15</v>
      </c>
      <c r="H66" s="26">
        <v>2.2999999999999998</v>
      </c>
      <c r="I66" s="26">
        <v>0.5</v>
      </c>
      <c r="J66" s="24">
        <v>18</v>
      </c>
      <c r="K66" s="24">
        <v>17</v>
      </c>
      <c r="L66" s="24">
        <v>401</v>
      </c>
      <c r="M66" s="26">
        <f>L66/D66</f>
        <v>6.0757575757575761</v>
      </c>
      <c r="N66" s="12"/>
    </row>
    <row r="67" spans="2:14" ht="15" customHeight="1">
      <c r="B67" s="29"/>
    </row>
    <row r="68" spans="2:14" ht="15" customHeight="1">
      <c r="B68" s="30" t="s">
        <v>117</v>
      </c>
    </row>
    <row r="69" spans="2:14" ht="15" customHeight="1">
      <c r="B69" s="19" t="s">
        <v>2</v>
      </c>
      <c r="C69" s="20" t="s">
        <v>3</v>
      </c>
      <c r="D69" s="21" t="s">
        <v>4</v>
      </c>
      <c r="E69" s="22" t="s">
        <v>5</v>
      </c>
      <c r="F69" s="22" t="s">
        <v>6</v>
      </c>
      <c r="G69" s="21" t="s">
        <v>7</v>
      </c>
      <c r="H69" s="23" t="s">
        <v>8</v>
      </c>
      <c r="I69" s="23" t="s">
        <v>9</v>
      </c>
      <c r="J69" s="21" t="s">
        <v>10</v>
      </c>
      <c r="K69" s="21" t="s">
        <v>11</v>
      </c>
      <c r="L69" s="21" t="s">
        <v>12</v>
      </c>
      <c r="M69" s="23" t="s">
        <v>13</v>
      </c>
      <c r="N69" s="8"/>
    </row>
    <row r="70" spans="2:14" ht="15" customHeight="1">
      <c r="B70" s="24">
        <v>2024</v>
      </c>
      <c r="C70" s="18" t="s">
        <v>104</v>
      </c>
      <c r="D70" s="24">
        <v>27</v>
      </c>
      <c r="E70" s="25">
        <v>0.45600000000000002</v>
      </c>
      <c r="F70" s="25">
        <v>0.71799999999999997</v>
      </c>
      <c r="G70" s="24">
        <v>11</v>
      </c>
      <c r="H70" s="26">
        <v>6.7</v>
      </c>
      <c r="I70" s="26">
        <v>2.9</v>
      </c>
      <c r="J70" s="24">
        <v>34</v>
      </c>
      <c r="K70" s="24">
        <v>21</v>
      </c>
      <c r="L70" s="24">
        <v>474</v>
      </c>
      <c r="M70" s="26">
        <f>L70/D70</f>
        <v>17.555555555555557</v>
      </c>
      <c r="N70" s="12"/>
    </row>
    <row r="71" spans="2:14" ht="15" customHeight="1">
      <c r="B71" s="27" t="s">
        <v>15</v>
      </c>
      <c r="C71" s="18" t="s">
        <v>16</v>
      </c>
      <c r="D71" s="24">
        <v>336</v>
      </c>
      <c r="E71" s="25">
        <v>0.47599999999999998</v>
      </c>
      <c r="F71" s="25">
        <v>0.75</v>
      </c>
      <c r="G71" s="24">
        <v>151</v>
      </c>
      <c r="H71" s="26">
        <v>5.6</v>
      </c>
      <c r="I71" s="26">
        <v>1.5</v>
      </c>
      <c r="J71" s="24">
        <v>382</v>
      </c>
      <c r="K71" s="24">
        <v>332</v>
      </c>
      <c r="L71" s="24">
        <v>3867</v>
      </c>
      <c r="M71" s="26">
        <f>L71/D71</f>
        <v>11.508928571428571</v>
      </c>
      <c r="N71" s="12"/>
    </row>
    <row r="73" spans="2:14" ht="15" customHeight="1">
      <c r="B73" s="30" t="s">
        <v>118</v>
      </c>
    </row>
    <row r="74" spans="2:14" ht="15" customHeight="1">
      <c r="B74" s="19" t="s">
        <v>2</v>
      </c>
      <c r="C74" s="20" t="s">
        <v>3</v>
      </c>
      <c r="D74" s="21" t="s">
        <v>4</v>
      </c>
      <c r="E74" s="22" t="s">
        <v>5</v>
      </c>
      <c r="F74" s="22" t="s">
        <v>6</v>
      </c>
      <c r="G74" s="21" t="s">
        <v>7</v>
      </c>
      <c r="H74" s="23" t="s">
        <v>8</v>
      </c>
      <c r="I74" s="23" t="s">
        <v>9</v>
      </c>
      <c r="J74" s="21" t="s">
        <v>10</v>
      </c>
      <c r="K74" s="21" t="s">
        <v>11</v>
      </c>
      <c r="L74" s="21" t="s">
        <v>12</v>
      </c>
      <c r="M74" s="23" t="s">
        <v>13</v>
      </c>
      <c r="N74" s="8"/>
    </row>
    <row r="75" spans="2:14" ht="15" customHeight="1">
      <c r="B75" s="24">
        <v>2023</v>
      </c>
      <c r="C75" s="18" t="s">
        <v>104</v>
      </c>
      <c r="D75" s="24">
        <v>28</v>
      </c>
      <c r="E75" s="25">
        <v>0.30399999999999999</v>
      </c>
      <c r="F75" s="25">
        <v>0.55000000000000004</v>
      </c>
      <c r="G75" s="24">
        <v>2</v>
      </c>
      <c r="H75" s="26">
        <v>1.3</v>
      </c>
      <c r="I75" s="26">
        <v>2.2000000000000002</v>
      </c>
      <c r="J75" s="24">
        <v>12</v>
      </c>
      <c r="K75" s="24">
        <v>0</v>
      </c>
      <c r="L75" s="24">
        <v>55</v>
      </c>
      <c r="M75" s="26">
        <f>L75/D75</f>
        <v>1.9642857142857142</v>
      </c>
      <c r="N75" s="12"/>
    </row>
    <row r="76" spans="2:14" ht="15" customHeight="1">
      <c r="B76" s="27" t="s">
        <v>15</v>
      </c>
      <c r="C76" s="18" t="s">
        <v>20</v>
      </c>
      <c r="D76" s="24">
        <v>268</v>
      </c>
      <c r="E76" s="25">
        <v>0.38900000000000001</v>
      </c>
      <c r="F76" s="25">
        <v>0.82099999999999995</v>
      </c>
      <c r="G76" s="24">
        <v>188</v>
      </c>
      <c r="H76" s="26">
        <v>2.5</v>
      </c>
      <c r="I76" s="26">
        <v>3.7</v>
      </c>
      <c r="J76" s="24">
        <v>281</v>
      </c>
      <c r="K76" s="24">
        <v>33</v>
      </c>
      <c r="L76" s="24">
        <v>2970</v>
      </c>
      <c r="M76" s="26">
        <f>L76/D76</f>
        <v>11.082089552238806</v>
      </c>
      <c r="N76" s="12"/>
    </row>
    <row r="77" spans="2:14" s="28" customFormat="1" ht="15" customHeight="1">
      <c r="B77" s="9"/>
      <c r="C77" s="1"/>
      <c r="D77" s="10"/>
      <c r="E77" s="11"/>
      <c r="F77" s="11"/>
      <c r="G77" s="10"/>
      <c r="H77" s="12"/>
      <c r="I77" s="12"/>
      <c r="J77" s="10"/>
      <c r="K77" s="10"/>
      <c r="L77" s="10"/>
      <c r="M77" s="12"/>
      <c r="N77" s="12"/>
    </row>
    <row r="78" spans="2:14" ht="15" customHeight="1">
      <c r="B78" s="30" t="s">
        <v>119</v>
      </c>
      <c r="N78" s="8"/>
    </row>
    <row r="79" spans="2:14" ht="15" customHeight="1">
      <c r="B79" s="19" t="s">
        <v>2</v>
      </c>
      <c r="C79" s="20" t="s">
        <v>3</v>
      </c>
      <c r="D79" s="21" t="s">
        <v>4</v>
      </c>
      <c r="E79" s="22" t="s">
        <v>5</v>
      </c>
      <c r="F79" s="22" t="s">
        <v>6</v>
      </c>
      <c r="G79" s="21" t="s">
        <v>7</v>
      </c>
      <c r="H79" s="23" t="s">
        <v>8</v>
      </c>
      <c r="I79" s="23" t="s">
        <v>9</v>
      </c>
      <c r="J79" s="21" t="s">
        <v>10</v>
      </c>
      <c r="K79" s="21" t="s">
        <v>11</v>
      </c>
      <c r="L79" s="21" t="s">
        <v>12</v>
      </c>
      <c r="M79" s="23" t="s">
        <v>13</v>
      </c>
      <c r="N79" s="12"/>
    </row>
    <row r="80" spans="2:14" ht="15" customHeight="1">
      <c r="B80" s="24">
        <v>2024</v>
      </c>
      <c r="C80" s="18" t="s">
        <v>104</v>
      </c>
      <c r="D80" s="24">
        <v>40</v>
      </c>
      <c r="E80" s="25">
        <v>0.34200000000000003</v>
      </c>
      <c r="F80" s="25">
        <v>0.82599999999999996</v>
      </c>
      <c r="G80" s="24">
        <v>20</v>
      </c>
      <c r="H80" s="26">
        <v>1.6</v>
      </c>
      <c r="I80" s="26">
        <v>3</v>
      </c>
      <c r="J80" s="24">
        <v>37</v>
      </c>
      <c r="K80" s="24">
        <v>11</v>
      </c>
      <c r="L80" s="24">
        <v>175</v>
      </c>
      <c r="M80" s="26">
        <f>L80/D80</f>
        <v>4.375</v>
      </c>
      <c r="N80" s="12"/>
    </row>
    <row r="81" spans="2:14" ht="15" customHeight="1">
      <c r="B81" s="27" t="s">
        <v>15</v>
      </c>
      <c r="C81" s="18" t="s">
        <v>40</v>
      </c>
      <c r="D81" s="24">
        <v>40</v>
      </c>
      <c r="E81" s="25">
        <v>0.34200000000000003</v>
      </c>
      <c r="F81" s="25">
        <v>0.82599999999999996</v>
      </c>
      <c r="G81" s="24">
        <v>20</v>
      </c>
      <c r="H81" s="26">
        <v>1.6</v>
      </c>
      <c r="I81" s="26">
        <v>3</v>
      </c>
      <c r="J81" s="24">
        <v>37</v>
      </c>
      <c r="K81" s="24">
        <v>11</v>
      </c>
      <c r="L81" s="24">
        <v>175</v>
      </c>
      <c r="M81" s="26">
        <f>L81/D81</f>
        <v>4.375</v>
      </c>
      <c r="N81" s="17"/>
    </row>
    <row r="82" spans="2:14" ht="15" customHeight="1">
      <c r="B82" s="15"/>
      <c r="C82" s="5"/>
      <c r="D82" s="5"/>
      <c r="E82" s="16"/>
      <c r="F82" s="16"/>
      <c r="G82" s="5"/>
      <c r="H82" s="17"/>
      <c r="I82" s="17"/>
      <c r="J82" s="5"/>
      <c r="K82" s="5"/>
      <c r="L82" s="17"/>
      <c r="M82" s="17"/>
    </row>
    <row r="83" spans="2:14" ht="15" customHeight="1">
      <c r="B83" s="30" t="s">
        <v>120</v>
      </c>
      <c r="N83" s="8"/>
    </row>
    <row r="84" spans="2:14" ht="15" customHeight="1">
      <c r="B84" s="19" t="s">
        <v>2</v>
      </c>
      <c r="C84" s="20" t="s">
        <v>3</v>
      </c>
      <c r="D84" s="21" t="s">
        <v>4</v>
      </c>
      <c r="E84" s="22" t="s">
        <v>5</v>
      </c>
      <c r="F84" s="22" t="s">
        <v>6</v>
      </c>
      <c r="G84" s="21" t="s">
        <v>7</v>
      </c>
      <c r="H84" s="23" t="s">
        <v>8</v>
      </c>
      <c r="I84" s="23" t="s">
        <v>9</v>
      </c>
      <c r="J84" s="21" t="s">
        <v>10</v>
      </c>
      <c r="K84" s="21" t="s">
        <v>11</v>
      </c>
      <c r="L84" s="21" t="s">
        <v>12</v>
      </c>
      <c r="M84" s="23" t="s">
        <v>13</v>
      </c>
      <c r="N84" s="12"/>
    </row>
    <row r="85" spans="2:14" ht="15" customHeight="1">
      <c r="B85" s="24">
        <v>2024</v>
      </c>
      <c r="C85" s="18" t="s">
        <v>104</v>
      </c>
      <c r="D85" s="24">
        <v>40</v>
      </c>
      <c r="E85" s="25">
        <v>0.38600000000000001</v>
      </c>
      <c r="F85" s="25">
        <v>0.92600000000000005</v>
      </c>
      <c r="G85" s="24">
        <v>30</v>
      </c>
      <c r="H85" s="26">
        <v>2.1</v>
      </c>
      <c r="I85" s="26">
        <v>2.5</v>
      </c>
      <c r="J85" s="24">
        <v>23</v>
      </c>
      <c r="K85" s="24">
        <v>12</v>
      </c>
      <c r="L85" s="24">
        <v>217</v>
      </c>
      <c r="M85" s="26">
        <f>L85/D85</f>
        <v>5.4249999999999998</v>
      </c>
      <c r="N85" s="12"/>
    </row>
    <row r="86" spans="2:14" ht="15" customHeight="1">
      <c r="B86" s="27" t="s">
        <v>15</v>
      </c>
      <c r="C86" s="18" t="s">
        <v>40</v>
      </c>
      <c r="D86" s="24">
        <v>40</v>
      </c>
      <c r="E86" s="25">
        <v>0.38600000000000001</v>
      </c>
      <c r="F86" s="25">
        <v>0.92600000000000005</v>
      </c>
      <c r="G86" s="24">
        <v>30</v>
      </c>
      <c r="H86" s="26">
        <v>2.1</v>
      </c>
      <c r="I86" s="26">
        <v>2.5</v>
      </c>
      <c r="J86" s="24">
        <v>23</v>
      </c>
      <c r="K86" s="24">
        <v>12</v>
      </c>
      <c r="L86" s="24">
        <v>217</v>
      </c>
      <c r="M86" s="26">
        <f>L86/D86</f>
        <v>5.4249999999999998</v>
      </c>
      <c r="N86" s="17"/>
    </row>
    <row r="87" spans="2:14" ht="15" customHeight="1">
      <c r="B87" s="15"/>
      <c r="C87" s="5"/>
      <c r="D87" s="5"/>
      <c r="E87" s="16"/>
      <c r="F87" s="16"/>
      <c r="G87" s="5"/>
      <c r="H87" s="17"/>
      <c r="I87" s="17"/>
      <c r="J87" s="5"/>
      <c r="K87" s="5"/>
      <c r="L87" s="17"/>
      <c r="M87" s="17"/>
    </row>
    <row r="88" spans="2:14" ht="15" customHeight="1">
      <c r="B88" s="30" t="s">
        <v>121</v>
      </c>
      <c r="N88" s="8"/>
    </row>
    <row r="89" spans="2:14" ht="15" customHeight="1">
      <c r="B89" s="19" t="s">
        <v>2</v>
      </c>
      <c r="C89" s="20" t="s">
        <v>3</v>
      </c>
      <c r="D89" s="21" t="s">
        <v>4</v>
      </c>
      <c r="E89" s="22" t="s">
        <v>5</v>
      </c>
      <c r="F89" s="22" t="s">
        <v>6</v>
      </c>
      <c r="G89" s="21" t="s">
        <v>7</v>
      </c>
      <c r="H89" s="23" t="s">
        <v>8</v>
      </c>
      <c r="I89" s="23" t="s">
        <v>9</v>
      </c>
      <c r="J89" s="21" t="s">
        <v>10</v>
      </c>
      <c r="K89" s="21" t="s">
        <v>11</v>
      </c>
      <c r="L89" s="21" t="s">
        <v>12</v>
      </c>
      <c r="M89" s="23" t="s">
        <v>13</v>
      </c>
      <c r="N89" s="12"/>
    </row>
    <row r="90" spans="2:14" ht="15" customHeight="1">
      <c r="B90" s="24">
        <v>2024</v>
      </c>
      <c r="C90" s="18" t="s">
        <v>104</v>
      </c>
      <c r="D90" s="24">
        <v>14</v>
      </c>
      <c r="E90" s="25">
        <v>0.48399999999999999</v>
      </c>
      <c r="F90" s="25">
        <v>0.33300000000000002</v>
      </c>
      <c r="G90" s="24">
        <v>6</v>
      </c>
      <c r="H90" s="26">
        <v>1.5</v>
      </c>
      <c r="I90" s="26">
        <v>0.4</v>
      </c>
      <c r="J90" s="24">
        <v>4</v>
      </c>
      <c r="K90" s="24">
        <v>4</v>
      </c>
      <c r="L90" s="24">
        <v>37</v>
      </c>
      <c r="M90" s="26">
        <f>L90/D90</f>
        <v>2.6428571428571428</v>
      </c>
      <c r="N90" s="12"/>
    </row>
    <row r="91" spans="2:14" ht="15" customHeight="1">
      <c r="B91" s="27" t="s">
        <v>15</v>
      </c>
      <c r="C91" s="18" t="s">
        <v>40</v>
      </c>
      <c r="D91" s="24">
        <v>14</v>
      </c>
      <c r="E91" s="25">
        <v>0.48399999999999999</v>
      </c>
      <c r="F91" s="25">
        <v>0.33300000000000002</v>
      </c>
      <c r="G91" s="24">
        <v>6</v>
      </c>
      <c r="H91" s="26">
        <v>1.5</v>
      </c>
      <c r="I91" s="26">
        <v>0.4</v>
      </c>
      <c r="J91" s="24">
        <v>4</v>
      </c>
      <c r="K91" s="24">
        <v>4</v>
      </c>
      <c r="L91" s="24">
        <v>37</v>
      </c>
      <c r="M91" s="26">
        <f>L91/D91</f>
        <v>2.6428571428571428</v>
      </c>
      <c r="N91" s="17"/>
    </row>
    <row r="92" spans="2:14" ht="15" customHeight="1">
      <c r="B92" s="15"/>
      <c r="C92" s="5"/>
      <c r="D92" s="5"/>
      <c r="E92" s="16"/>
      <c r="F92" s="16"/>
      <c r="G92" s="5"/>
      <c r="H92" s="17"/>
      <c r="I92" s="17"/>
      <c r="J92" s="5"/>
      <c r="K92" s="5"/>
      <c r="L92" s="17"/>
      <c r="M92" s="17"/>
    </row>
    <row r="93" spans="2:14" ht="15" customHeight="1">
      <c r="B93" s="30" t="s">
        <v>122</v>
      </c>
      <c r="N93" s="8"/>
    </row>
    <row r="94" spans="2:14" ht="15" customHeight="1">
      <c r="B94" s="19" t="s">
        <v>2</v>
      </c>
      <c r="C94" s="20" t="s">
        <v>3</v>
      </c>
      <c r="D94" s="21" t="s">
        <v>4</v>
      </c>
      <c r="E94" s="22" t="s">
        <v>5</v>
      </c>
      <c r="F94" s="22" t="s">
        <v>6</v>
      </c>
      <c r="G94" s="21" t="s">
        <v>7</v>
      </c>
      <c r="H94" s="23" t="s">
        <v>8</v>
      </c>
      <c r="I94" s="23" t="s">
        <v>9</v>
      </c>
      <c r="J94" s="21" t="s">
        <v>10</v>
      </c>
      <c r="K94" s="21" t="s">
        <v>11</v>
      </c>
      <c r="L94" s="21" t="s">
        <v>12</v>
      </c>
      <c r="M94" s="23" t="s">
        <v>13</v>
      </c>
      <c r="N94" s="12"/>
    </row>
    <row r="95" spans="2:14" ht="15" customHeight="1">
      <c r="B95" s="24">
        <v>2024</v>
      </c>
      <c r="C95" s="18" t="s">
        <v>104</v>
      </c>
      <c r="D95" s="24">
        <v>22</v>
      </c>
      <c r="E95" s="25">
        <v>0.29399999999999998</v>
      </c>
      <c r="F95" s="25">
        <v>1</v>
      </c>
      <c r="G95" s="24">
        <v>2</v>
      </c>
      <c r="H95" s="26">
        <v>2.1</v>
      </c>
      <c r="I95" s="26">
        <v>0.5</v>
      </c>
      <c r="J95" s="24">
        <v>2</v>
      </c>
      <c r="K95" s="24">
        <v>8</v>
      </c>
      <c r="L95" s="24">
        <v>12</v>
      </c>
      <c r="M95" s="26">
        <f>L95/D95</f>
        <v>0.54545454545454541</v>
      </c>
      <c r="N95" s="12"/>
    </row>
    <row r="96" spans="2:14" ht="15" customHeight="1">
      <c r="B96" s="27" t="s">
        <v>15</v>
      </c>
      <c r="C96" s="18" t="s">
        <v>40</v>
      </c>
      <c r="D96" s="24">
        <v>22</v>
      </c>
      <c r="E96" s="25">
        <v>0.29399999999999998</v>
      </c>
      <c r="F96" s="25">
        <v>1</v>
      </c>
      <c r="G96" s="24">
        <v>2</v>
      </c>
      <c r="H96" s="26">
        <v>2.1</v>
      </c>
      <c r="I96" s="26">
        <v>0.5</v>
      </c>
      <c r="J96" s="24">
        <v>2</v>
      </c>
      <c r="K96" s="24">
        <v>8</v>
      </c>
      <c r="L96" s="24">
        <v>12</v>
      </c>
      <c r="M96" s="26">
        <f>L96/D96</f>
        <v>0.54545454545454541</v>
      </c>
      <c r="N96" s="17"/>
    </row>
    <row r="97" spans="2:13" ht="15" customHeight="1">
      <c r="B97" s="15"/>
      <c r="C97" s="5"/>
      <c r="D97" s="5"/>
      <c r="E97" s="16"/>
      <c r="F97" s="16"/>
      <c r="G97" s="5"/>
      <c r="H97" s="17"/>
      <c r="I97" s="17"/>
      <c r="J97" s="5"/>
      <c r="K97" s="5"/>
      <c r="L97" s="17"/>
      <c r="M97" s="17"/>
    </row>
    <row r="98" spans="2:13" ht="15" customHeight="1">
      <c r="B98" s="30" t="s">
        <v>123</v>
      </c>
    </row>
    <row r="99" spans="2:13" ht="15" customHeight="1">
      <c r="B99" s="19" t="s">
        <v>2</v>
      </c>
      <c r="C99" s="20" t="s">
        <v>3</v>
      </c>
      <c r="D99" s="21" t="s">
        <v>4</v>
      </c>
      <c r="E99" s="22" t="s">
        <v>5</v>
      </c>
      <c r="F99" s="22" t="s">
        <v>6</v>
      </c>
      <c r="G99" s="21" t="s">
        <v>7</v>
      </c>
      <c r="H99" s="23" t="s">
        <v>8</v>
      </c>
      <c r="I99" s="23" t="s">
        <v>9</v>
      </c>
      <c r="J99" s="21" t="s">
        <v>10</v>
      </c>
      <c r="K99" s="21" t="s">
        <v>11</v>
      </c>
      <c r="L99" s="21" t="s">
        <v>12</v>
      </c>
      <c r="M99" s="23" t="s">
        <v>13</v>
      </c>
    </row>
    <row r="100" spans="2:13" ht="15" customHeight="1">
      <c r="B100" s="24">
        <v>2024</v>
      </c>
      <c r="C100" s="18" t="s">
        <v>104</v>
      </c>
      <c r="D100" s="24">
        <v>27</v>
      </c>
      <c r="E100" s="25">
        <v>0.29399999999999998</v>
      </c>
      <c r="F100" s="25">
        <v>0.5</v>
      </c>
      <c r="G100" s="24">
        <v>3</v>
      </c>
      <c r="H100" s="26">
        <v>0.4</v>
      </c>
      <c r="I100" s="26">
        <v>0.4</v>
      </c>
      <c r="J100" s="24">
        <v>3</v>
      </c>
      <c r="K100" s="24">
        <v>0</v>
      </c>
      <c r="L100" s="24">
        <v>25</v>
      </c>
      <c r="M100" s="26">
        <f>L100/D100</f>
        <v>0.92592592592592593</v>
      </c>
    </row>
    <row r="101" spans="2:13" ht="15" customHeight="1">
      <c r="B101" s="27" t="s">
        <v>15</v>
      </c>
      <c r="C101" s="18" t="s">
        <v>40</v>
      </c>
      <c r="D101" s="24">
        <v>27</v>
      </c>
      <c r="E101" s="25">
        <v>0.29399999999999998</v>
      </c>
      <c r="F101" s="25">
        <v>0.5</v>
      </c>
      <c r="G101" s="24">
        <v>3</v>
      </c>
      <c r="H101" s="26">
        <v>0.4</v>
      </c>
      <c r="I101" s="26">
        <v>0.4</v>
      </c>
      <c r="J101" s="24">
        <v>3</v>
      </c>
      <c r="K101" s="24">
        <v>0</v>
      </c>
      <c r="L101" s="24">
        <v>25</v>
      </c>
      <c r="M101" s="26">
        <f>L101/D101</f>
        <v>0.92592592592592593</v>
      </c>
    </row>
    <row r="103" spans="2:13" ht="15" customHeight="1">
      <c r="B103" s="30" t="s">
        <v>120</v>
      </c>
    </row>
    <row r="104" spans="2:13" ht="15" customHeight="1">
      <c r="B104" s="19" t="s">
        <v>2</v>
      </c>
      <c r="C104" s="20" t="s">
        <v>3</v>
      </c>
      <c r="D104" s="21" t="s">
        <v>4</v>
      </c>
      <c r="E104" s="22" t="s">
        <v>5</v>
      </c>
      <c r="F104" s="22" t="s">
        <v>6</v>
      </c>
      <c r="G104" s="21" t="s">
        <v>7</v>
      </c>
      <c r="H104" s="23" t="s">
        <v>8</v>
      </c>
      <c r="I104" s="23" t="s">
        <v>9</v>
      </c>
      <c r="J104" s="21" t="s">
        <v>10</v>
      </c>
      <c r="K104" s="21" t="s">
        <v>11</v>
      </c>
      <c r="L104" s="21" t="s">
        <v>12</v>
      </c>
      <c r="M104" s="23" t="s">
        <v>13</v>
      </c>
    </row>
    <row r="105" spans="2:13" ht="15" customHeight="1">
      <c r="B105" s="24">
        <v>2024</v>
      </c>
      <c r="C105" s="18" t="s">
        <v>104</v>
      </c>
      <c r="D105" s="24">
        <v>40</v>
      </c>
      <c r="E105" s="25">
        <v>0.38600000000000001</v>
      </c>
      <c r="F105" s="25">
        <v>0.92600000000000005</v>
      </c>
      <c r="G105" s="24">
        <v>30</v>
      </c>
      <c r="H105" s="26">
        <v>2.1</v>
      </c>
      <c r="I105" s="26">
        <v>2.5</v>
      </c>
      <c r="J105" s="24">
        <v>23</v>
      </c>
      <c r="K105" s="24">
        <v>12</v>
      </c>
      <c r="L105" s="24">
        <v>217</v>
      </c>
      <c r="M105" s="26">
        <f>L105/D105</f>
        <v>5.4249999999999998</v>
      </c>
    </row>
    <row r="106" spans="2:13" ht="15" customHeight="1">
      <c r="B106" s="27" t="s">
        <v>15</v>
      </c>
      <c r="C106" s="18" t="s">
        <v>40</v>
      </c>
      <c r="D106" s="24">
        <v>40</v>
      </c>
      <c r="E106" s="25">
        <v>0.38600000000000001</v>
      </c>
      <c r="F106" s="25">
        <v>0.92600000000000005</v>
      </c>
      <c r="G106" s="24">
        <v>30</v>
      </c>
      <c r="H106" s="26">
        <v>2.1</v>
      </c>
      <c r="I106" s="26">
        <v>2.5</v>
      </c>
      <c r="J106" s="24">
        <v>23</v>
      </c>
      <c r="K106" s="24">
        <v>12</v>
      </c>
      <c r="L106" s="24">
        <v>217</v>
      </c>
      <c r="M106" s="26">
        <f>L106/D106</f>
        <v>5.4249999999999998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38955-8DC0-4AE4-8E36-F9DFA1748D24}">
  <dimension ref="B1:N32"/>
  <sheetViews>
    <sheetView zoomScale="120" zoomScaleNormal="120" workbookViewId="0">
      <selection activeCell="B28" sqref="B28"/>
    </sheetView>
  </sheetViews>
  <sheetFormatPr defaultColWidth="45" defaultRowHeight="11.25"/>
  <cols>
    <col min="1" max="1" width="2.7109375" style="1" customWidth="1"/>
    <col min="2" max="2" width="17.7109375" style="13" bestFit="1" customWidth="1"/>
    <col min="3" max="3" width="19.140625" style="1" bestFit="1" customWidth="1"/>
    <col min="4" max="4" width="4.28515625" style="1" customWidth="1"/>
    <col min="5" max="5" width="7.42578125" style="2" bestFit="1" customWidth="1"/>
    <col min="6" max="6" width="4.85546875" style="2" bestFit="1" customWidth="1"/>
    <col min="7" max="7" width="4.42578125" style="1" bestFit="1" customWidth="1"/>
    <col min="8" max="8" width="4.140625" style="3" bestFit="1" customWidth="1"/>
    <col min="9" max="9" width="4.28515625" style="3" bestFit="1" customWidth="1"/>
    <col min="10" max="10" width="5.140625" style="1" customWidth="1"/>
    <col min="11" max="11" width="4.42578125" style="1" bestFit="1" customWidth="1"/>
    <col min="12" max="12" width="5.28515625" style="1" bestFit="1" customWidth="1"/>
    <col min="13" max="13" width="4.42578125" style="3" bestFit="1" customWidth="1"/>
    <col min="14" max="14" width="4.42578125" style="3" customWidth="1"/>
    <col min="15" max="16384" width="45" style="1"/>
  </cols>
  <sheetData>
    <row r="1" spans="2:14" ht="15" customHeight="1">
      <c r="B1" s="33" t="s">
        <v>124</v>
      </c>
    </row>
    <row r="2" spans="2:14" ht="15" customHeight="1">
      <c r="B2" s="4"/>
      <c r="C2" s="5"/>
      <c r="D2" s="6"/>
      <c r="E2" s="7"/>
      <c r="F2" s="7"/>
      <c r="G2" s="6"/>
      <c r="H2" s="8"/>
      <c r="I2" s="8"/>
      <c r="J2" s="6"/>
      <c r="K2" s="6"/>
      <c r="L2" s="6"/>
      <c r="M2" s="8"/>
      <c r="N2" s="8"/>
    </row>
    <row r="3" spans="2:14" ht="15" customHeight="1">
      <c r="B3" s="30" t="s">
        <v>98</v>
      </c>
      <c r="N3" s="8"/>
    </row>
    <row r="4" spans="2:14" ht="15" customHeight="1">
      <c r="B4" s="19" t="s">
        <v>2</v>
      </c>
      <c r="C4" s="20" t="s">
        <v>3</v>
      </c>
      <c r="D4" s="21" t="s">
        <v>4</v>
      </c>
      <c r="E4" s="22" t="s">
        <v>5</v>
      </c>
      <c r="F4" s="22" t="s">
        <v>6</v>
      </c>
      <c r="G4" s="21" t="s">
        <v>7</v>
      </c>
      <c r="H4" s="23" t="s">
        <v>8</v>
      </c>
      <c r="I4" s="23" t="s">
        <v>9</v>
      </c>
      <c r="J4" s="21" t="s">
        <v>10</v>
      </c>
      <c r="K4" s="21" t="s">
        <v>11</v>
      </c>
      <c r="L4" s="21" t="s">
        <v>12</v>
      </c>
      <c r="M4" s="23" t="s">
        <v>13</v>
      </c>
      <c r="N4" s="12"/>
    </row>
    <row r="5" spans="2:14" ht="15" customHeight="1">
      <c r="B5" s="24">
        <v>2024</v>
      </c>
      <c r="C5" s="18" t="s">
        <v>85</v>
      </c>
      <c r="D5" s="24">
        <v>31</v>
      </c>
      <c r="E5" s="25">
        <v>0.36099999999999999</v>
      </c>
      <c r="F5" s="25">
        <v>0.83799999999999997</v>
      </c>
      <c r="G5" s="24">
        <v>13</v>
      </c>
      <c r="H5" s="26">
        <v>1.4</v>
      </c>
      <c r="I5" s="26">
        <v>1.9</v>
      </c>
      <c r="J5" s="24">
        <v>14</v>
      </c>
      <c r="K5" s="24">
        <v>7</v>
      </c>
      <c r="L5" s="24">
        <v>96</v>
      </c>
      <c r="M5" s="26">
        <f>L5/D5</f>
        <v>3.096774193548387</v>
      </c>
      <c r="N5" s="12"/>
    </row>
    <row r="6" spans="2:14" ht="15" customHeight="1">
      <c r="B6" s="27" t="s">
        <v>15</v>
      </c>
      <c r="C6" s="18" t="s">
        <v>23</v>
      </c>
      <c r="D6" s="24">
        <v>107</v>
      </c>
      <c r="E6" s="25">
        <v>0.32600000000000001</v>
      </c>
      <c r="F6" s="25">
        <v>0.91300000000000003</v>
      </c>
      <c r="G6" s="24">
        <v>38</v>
      </c>
      <c r="H6" s="26">
        <v>1.6</v>
      </c>
      <c r="I6" s="26">
        <v>2</v>
      </c>
      <c r="J6" s="24">
        <v>77</v>
      </c>
      <c r="K6" s="24">
        <v>28</v>
      </c>
      <c r="L6" s="24">
        <v>284</v>
      </c>
      <c r="M6" s="26">
        <f>L6/D6</f>
        <v>2.6542056074766354</v>
      </c>
      <c r="N6" s="17"/>
    </row>
    <row r="7" spans="2:14" ht="15" customHeight="1">
      <c r="B7" s="15"/>
      <c r="C7" s="5"/>
      <c r="D7" s="5"/>
      <c r="E7" s="16"/>
      <c r="F7" s="16"/>
      <c r="G7" s="5"/>
      <c r="H7" s="17"/>
      <c r="I7" s="17"/>
      <c r="J7" s="5"/>
      <c r="K7" s="5"/>
      <c r="L7" s="17"/>
      <c r="M7" s="17"/>
    </row>
    <row r="8" spans="2:14" ht="15" customHeight="1">
      <c r="B8" s="30" t="s">
        <v>125</v>
      </c>
    </row>
    <row r="9" spans="2:14" ht="15" customHeight="1">
      <c r="B9" s="19" t="s">
        <v>2</v>
      </c>
      <c r="C9" s="20" t="s">
        <v>3</v>
      </c>
      <c r="D9" s="21" t="s">
        <v>4</v>
      </c>
      <c r="E9" s="22" t="s">
        <v>5</v>
      </c>
      <c r="F9" s="22" t="s">
        <v>6</v>
      </c>
      <c r="G9" s="21" t="s">
        <v>7</v>
      </c>
      <c r="H9" s="23" t="s">
        <v>8</v>
      </c>
      <c r="I9" s="23" t="s">
        <v>9</v>
      </c>
      <c r="J9" s="21" t="s">
        <v>10</v>
      </c>
      <c r="K9" s="21" t="s">
        <v>11</v>
      </c>
      <c r="L9" s="21" t="s">
        <v>12</v>
      </c>
      <c r="M9" s="23" t="s">
        <v>13</v>
      </c>
      <c r="N9" s="8"/>
    </row>
    <row r="10" spans="2:14" ht="15" customHeight="1">
      <c r="B10" s="24">
        <v>2024</v>
      </c>
      <c r="C10" s="18" t="s">
        <v>126</v>
      </c>
      <c r="D10" s="24">
        <v>40</v>
      </c>
      <c r="E10" s="25">
        <v>0.379</v>
      </c>
      <c r="F10" s="25">
        <v>0.84599999999999997</v>
      </c>
      <c r="G10" s="24">
        <v>45</v>
      </c>
      <c r="H10" s="26">
        <v>2.6</v>
      </c>
      <c r="I10" s="26">
        <v>0.7</v>
      </c>
      <c r="J10" s="24">
        <v>29</v>
      </c>
      <c r="K10" s="24">
        <v>9</v>
      </c>
      <c r="L10" s="24">
        <v>221</v>
      </c>
      <c r="M10" s="26">
        <f>L10/D10</f>
        <v>5.5250000000000004</v>
      </c>
      <c r="N10" s="12"/>
    </row>
    <row r="11" spans="2:14" ht="15" customHeight="1">
      <c r="B11" s="27" t="s">
        <v>15</v>
      </c>
      <c r="C11" s="18" t="s">
        <v>50</v>
      </c>
      <c r="D11" s="24">
        <v>274</v>
      </c>
      <c r="E11" s="25">
        <v>0.41099999999999998</v>
      </c>
      <c r="F11" s="25">
        <v>0.84099999999999997</v>
      </c>
      <c r="G11" s="24">
        <v>230</v>
      </c>
      <c r="H11" s="26">
        <v>4.2</v>
      </c>
      <c r="I11" s="26">
        <v>1.2</v>
      </c>
      <c r="J11" s="24">
        <v>227</v>
      </c>
      <c r="K11" s="24">
        <v>81</v>
      </c>
      <c r="L11" s="24">
        <v>1927</v>
      </c>
      <c r="M11" s="26">
        <f>L11/D11</f>
        <v>7.0328467153284668</v>
      </c>
      <c r="N11" s="12"/>
    </row>
    <row r="12" spans="2:14" ht="15" customHeight="1"/>
    <row r="13" spans="2:14" ht="15" customHeight="1">
      <c r="B13" s="30" t="s">
        <v>127</v>
      </c>
    </row>
    <row r="14" spans="2:14" ht="15" customHeight="1">
      <c r="B14" s="19" t="s">
        <v>2</v>
      </c>
      <c r="C14" s="20" t="s">
        <v>3</v>
      </c>
      <c r="D14" s="21" t="s">
        <v>4</v>
      </c>
      <c r="E14" s="22" t="s">
        <v>5</v>
      </c>
      <c r="F14" s="22" t="s">
        <v>6</v>
      </c>
      <c r="G14" s="21" t="s">
        <v>7</v>
      </c>
      <c r="H14" s="23" t="s">
        <v>8</v>
      </c>
      <c r="I14" s="23" t="s">
        <v>9</v>
      </c>
      <c r="J14" s="21" t="s">
        <v>10</v>
      </c>
      <c r="K14" s="21" t="s">
        <v>11</v>
      </c>
      <c r="L14" s="21" t="s">
        <v>12</v>
      </c>
      <c r="M14" s="23" t="s">
        <v>13</v>
      </c>
      <c r="N14" s="8"/>
    </row>
    <row r="15" spans="2:14" ht="15" customHeight="1">
      <c r="B15" s="24">
        <v>2024</v>
      </c>
      <c r="C15" s="18" t="s">
        <v>128</v>
      </c>
      <c r="D15" s="24">
        <v>37</v>
      </c>
      <c r="E15" s="25">
        <v>0.46500000000000002</v>
      </c>
      <c r="F15" s="25">
        <v>0.80300000000000005</v>
      </c>
      <c r="G15" s="24">
        <v>3</v>
      </c>
      <c r="H15" s="26">
        <v>5.8</v>
      </c>
      <c r="I15" s="26">
        <v>1.4</v>
      </c>
      <c r="J15" s="24">
        <v>27</v>
      </c>
      <c r="K15" s="24">
        <v>19</v>
      </c>
      <c r="L15" s="24">
        <v>274</v>
      </c>
      <c r="M15" s="26">
        <f>L15/D15</f>
        <v>7.4054054054054053</v>
      </c>
      <c r="N15" s="12"/>
    </row>
    <row r="16" spans="2:14" ht="15" customHeight="1">
      <c r="B16" s="27" t="s">
        <v>15</v>
      </c>
      <c r="C16" s="18" t="s">
        <v>18</v>
      </c>
      <c r="D16" s="24">
        <v>213</v>
      </c>
      <c r="E16" s="25">
        <v>0.441</v>
      </c>
      <c r="F16" s="25">
        <v>0.76600000000000001</v>
      </c>
      <c r="G16" s="24">
        <v>4</v>
      </c>
      <c r="H16" s="26">
        <v>5.8</v>
      </c>
      <c r="I16" s="26">
        <v>0.9</v>
      </c>
      <c r="J16" s="24">
        <v>154</v>
      </c>
      <c r="K16" s="24">
        <v>102</v>
      </c>
      <c r="L16" s="24">
        <v>1315</v>
      </c>
      <c r="M16" s="26">
        <f>L16/D16</f>
        <v>6.173708920187793</v>
      </c>
      <c r="N16" s="12"/>
    </row>
    <row r="17" spans="2:14" ht="15" customHeight="1">
      <c r="B17" s="4"/>
      <c r="C17" s="5"/>
      <c r="D17" s="6"/>
      <c r="E17" s="7"/>
      <c r="F17" s="7"/>
      <c r="G17" s="6"/>
      <c r="H17" s="8"/>
      <c r="I17" s="8"/>
      <c r="J17" s="6"/>
      <c r="K17" s="6"/>
      <c r="L17" s="6"/>
      <c r="M17" s="8"/>
      <c r="N17" s="8"/>
    </row>
    <row r="18" spans="2:14" ht="15" customHeight="1">
      <c r="B18" s="30" t="s">
        <v>129</v>
      </c>
    </row>
    <row r="19" spans="2:14" ht="15" customHeight="1">
      <c r="B19" s="19" t="s">
        <v>2</v>
      </c>
      <c r="C19" s="20" t="s">
        <v>3</v>
      </c>
      <c r="D19" s="21" t="s">
        <v>4</v>
      </c>
      <c r="E19" s="22" t="s">
        <v>5</v>
      </c>
      <c r="F19" s="22" t="s">
        <v>6</v>
      </c>
      <c r="G19" s="21" t="s">
        <v>7</v>
      </c>
      <c r="H19" s="23" t="s">
        <v>8</v>
      </c>
      <c r="I19" s="23" t="s">
        <v>9</v>
      </c>
      <c r="J19" s="21" t="s">
        <v>10</v>
      </c>
      <c r="K19" s="21" t="s">
        <v>11</v>
      </c>
      <c r="L19" s="21" t="s">
        <v>12</v>
      </c>
      <c r="M19" s="23" t="s">
        <v>13</v>
      </c>
    </row>
    <row r="20" spans="2:14" ht="15" customHeight="1">
      <c r="B20" s="24">
        <v>2024</v>
      </c>
      <c r="C20" s="18" t="s">
        <v>130</v>
      </c>
      <c r="D20" s="24">
        <v>34</v>
      </c>
      <c r="E20" s="25">
        <v>0.307</v>
      </c>
      <c r="F20" s="25">
        <v>0.91700000000000004</v>
      </c>
      <c r="G20" s="24">
        <v>22</v>
      </c>
      <c r="H20" s="26">
        <v>1.6</v>
      </c>
      <c r="I20" s="26">
        <v>0.9</v>
      </c>
      <c r="J20" s="24">
        <v>7</v>
      </c>
      <c r="K20" s="24">
        <v>8</v>
      </c>
      <c r="L20" s="24">
        <v>87</v>
      </c>
      <c r="M20" s="26">
        <f>L20/D20</f>
        <v>2.5588235294117645</v>
      </c>
    </row>
    <row r="21" spans="2:14" ht="15" customHeight="1">
      <c r="B21" s="27" t="s">
        <v>15</v>
      </c>
      <c r="C21" s="18" t="s">
        <v>40</v>
      </c>
      <c r="D21" s="24">
        <v>34</v>
      </c>
      <c r="E21" s="25">
        <v>0.307</v>
      </c>
      <c r="F21" s="25">
        <v>0.91700000000000004</v>
      </c>
      <c r="G21" s="24">
        <v>22</v>
      </c>
      <c r="H21" s="26">
        <v>1.6</v>
      </c>
      <c r="I21" s="26">
        <v>0.9</v>
      </c>
      <c r="J21" s="24">
        <v>7</v>
      </c>
      <c r="K21" s="24">
        <v>8</v>
      </c>
      <c r="L21" s="24">
        <v>87</v>
      </c>
      <c r="M21" s="26">
        <f>L21/D21</f>
        <v>2.5588235294117645</v>
      </c>
    </row>
    <row r="22" spans="2:14" ht="15" customHeight="1"/>
    <row r="23" spans="2:14" ht="15" customHeight="1">
      <c r="B23" s="30" t="s">
        <v>131</v>
      </c>
    </row>
    <row r="24" spans="2:14" ht="15" customHeight="1">
      <c r="B24" s="19" t="s">
        <v>2</v>
      </c>
      <c r="C24" s="20" t="s">
        <v>3</v>
      </c>
      <c r="D24" s="21" t="s">
        <v>4</v>
      </c>
      <c r="E24" s="22" t="s">
        <v>5</v>
      </c>
      <c r="F24" s="22" t="s">
        <v>6</v>
      </c>
      <c r="G24" s="21" t="s">
        <v>7</v>
      </c>
      <c r="H24" s="23" t="s">
        <v>8</v>
      </c>
      <c r="I24" s="23" t="s">
        <v>9</v>
      </c>
      <c r="J24" s="21" t="s">
        <v>10</v>
      </c>
      <c r="K24" s="21" t="s">
        <v>11</v>
      </c>
      <c r="L24" s="21" t="s">
        <v>12</v>
      </c>
      <c r="M24" s="23" t="s">
        <v>13</v>
      </c>
    </row>
    <row r="25" spans="2:14" ht="15" customHeight="1">
      <c r="B25" s="24">
        <v>2024</v>
      </c>
      <c r="C25" s="18" t="s">
        <v>44</v>
      </c>
      <c r="D25" s="24">
        <v>22</v>
      </c>
      <c r="E25" s="25">
        <v>0.50900000000000001</v>
      </c>
      <c r="F25" s="25">
        <v>0.78600000000000003</v>
      </c>
      <c r="G25" s="24">
        <v>2</v>
      </c>
      <c r="H25" s="26">
        <v>4.7</v>
      </c>
      <c r="I25" s="26">
        <v>0.9</v>
      </c>
      <c r="J25" s="24">
        <v>11</v>
      </c>
      <c r="K25" s="24">
        <v>15</v>
      </c>
      <c r="L25" s="24">
        <v>140</v>
      </c>
      <c r="M25" s="26">
        <f>L25/D25</f>
        <v>6.3636363636363633</v>
      </c>
    </row>
    <row r="26" spans="2:14" ht="15" customHeight="1">
      <c r="B26" s="27" t="s">
        <v>15</v>
      </c>
      <c r="C26" s="18" t="s">
        <v>31</v>
      </c>
      <c r="D26" s="24">
        <v>91</v>
      </c>
      <c r="E26" s="25">
        <v>0.51</v>
      </c>
      <c r="F26" s="25">
        <v>0.74399999999999999</v>
      </c>
      <c r="G26" s="24">
        <v>3</v>
      </c>
      <c r="H26" s="26">
        <v>2.6</v>
      </c>
      <c r="I26" s="26">
        <v>0.6</v>
      </c>
      <c r="J26" s="24">
        <v>28</v>
      </c>
      <c r="K26" s="24">
        <v>34</v>
      </c>
      <c r="L26" s="24">
        <v>357</v>
      </c>
      <c r="M26" s="26">
        <f>L26/D26</f>
        <v>3.9230769230769229</v>
      </c>
    </row>
    <row r="27" spans="2:14" ht="15" customHeight="1"/>
    <row r="28" spans="2:14" ht="15" customHeight="1">
      <c r="B28" s="30" t="s">
        <v>132</v>
      </c>
      <c r="N28" s="8"/>
    </row>
    <row r="29" spans="2:14" ht="15" customHeight="1">
      <c r="B29" s="19" t="s">
        <v>2</v>
      </c>
      <c r="C29" s="20" t="s">
        <v>3</v>
      </c>
      <c r="D29" s="21" t="s">
        <v>4</v>
      </c>
      <c r="E29" s="22" t="s">
        <v>5</v>
      </c>
      <c r="F29" s="22" t="s">
        <v>6</v>
      </c>
      <c r="G29" s="21" t="s">
        <v>7</v>
      </c>
      <c r="H29" s="23" t="s">
        <v>8</v>
      </c>
      <c r="I29" s="23" t="s">
        <v>9</v>
      </c>
      <c r="J29" s="21" t="s">
        <v>10</v>
      </c>
      <c r="K29" s="21" t="s">
        <v>11</v>
      </c>
      <c r="L29" s="21" t="s">
        <v>12</v>
      </c>
      <c r="M29" s="23" t="s">
        <v>13</v>
      </c>
      <c r="N29" s="12"/>
    </row>
    <row r="30" spans="2:14" ht="15" customHeight="1">
      <c r="B30" s="24">
        <v>2024</v>
      </c>
      <c r="C30" s="18" t="s">
        <v>133</v>
      </c>
      <c r="D30" s="24">
        <v>40</v>
      </c>
      <c r="E30" s="25">
        <v>0.34599999999999997</v>
      </c>
      <c r="F30" s="25">
        <v>0.66700000000000004</v>
      </c>
      <c r="G30" s="24">
        <v>72</v>
      </c>
      <c r="H30" s="26">
        <v>1.6</v>
      </c>
      <c r="I30" s="26">
        <v>4.3</v>
      </c>
      <c r="J30" s="24">
        <v>19</v>
      </c>
      <c r="K30" s="24">
        <v>1</v>
      </c>
      <c r="L30" s="24">
        <v>294</v>
      </c>
      <c r="M30" s="26">
        <f>L30/D30</f>
        <v>7.35</v>
      </c>
      <c r="N30" s="12"/>
    </row>
    <row r="31" spans="2:14" ht="15" customHeight="1">
      <c r="B31" s="27" t="s">
        <v>15</v>
      </c>
      <c r="C31" s="18" t="s">
        <v>40</v>
      </c>
      <c r="D31" s="24">
        <v>40</v>
      </c>
      <c r="E31" s="25">
        <v>0.34599999999999997</v>
      </c>
      <c r="F31" s="25">
        <v>0.66700000000000004</v>
      </c>
      <c r="G31" s="24">
        <v>72</v>
      </c>
      <c r="H31" s="26">
        <v>1.6</v>
      </c>
      <c r="I31" s="26">
        <v>4.3</v>
      </c>
      <c r="J31" s="24">
        <v>19</v>
      </c>
      <c r="K31" s="24">
        <v>1</v>
      </c>
      <c r="L31" s="24">
        <v>294</v>
      </c>
      <c r="M31" s="26">
        <f>L31/D31</f>
        <v>7.35</v>
      </c>
      <c r="N31" s="17"/>
    </row>
    <row r="32" spans="2:14" ht="15" customHeight="1">
      <c r="B32" s="34"/>
      <c r="C32" s="5"/>
      <c r="D32" s="5"/>
      <c r="E32" s="16"/>
      <c r="F32" s="16"/>
      <c r="G32" s="5"/>
      <c r="H32" s="17"/>
      <c r="I32" s="17"/>
      <c r="J32" s="5"/>
      <c r="K32" s="5"/>
      <c r="L32" s="17"/>
      <c r="M32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111"/>
  <sheetViews>
    <sheetView zoomScale="120" zoomScaleNormal="120" workbookViewId="0">
      <selection activeCell="B63" sqref="B63"/>
    </sheetView>
  </sheetViews>
  <sheetFormatPr defaultColWidth="45" defaultRowHeight="15" customHeight="1"/>
  <cols>
    <col min="1" max="1" width="2.7109375" style="1" customWidth="1"/>
    <col min="2" max="2" width="17.7109375" style="13" bestFit="1" customWidth="1"/>
    <col min="3" max="3" width="19.140625" style="1" bestFit="1" customWidth="1"/>
    <col min="4" max="4" width="4.28515625" style="1" customWidth="1"/>
    <col min="5" max="5" width="7.42578125" style="2" bestFit="1" customWidth="1"/>
    <col min="6" max="6" width="6.5703125" style="2" bestFit="1" customWidth="1"/>
    <col min="7" max="7" width="4.42578125" style="1" bestFit="1" customWidth="1"/>
    <col min="8" max="8" width="4.140625" style="3" bestFit="1" customWidth="1"/>
    <col min="9" max="9" width="4.28515625" style="3" bestFit="1" customWidth="1"/>
    <col min="10" max="10" width="5.140625" style="1" customWidth="1"/>
    <col min="11" max="11" width="4.42578125" style="1" bestFit="1" customWidth="1"/>
    <col min="12" max="12" width="5.28515625" style="1" bestFit="1" customWidth="1"/>
    <col min="13" max="13" width="4.42578125" style="3" bestFit="1" customWidth="1"/>
    <col min="14" max="14" width="4.42578125" style="3" customWidth="1"/>
    <col min="15" max="16384" width="45" style="1"/>
  </cols>
  <sheetData>
    <row r="1" spans="2:14" ht="15" customHeight="1">
      <c r="B1" s="33" t="s">
        <v>134</v>
      </c>
    </row>
    <row r="3" spans="2:14" ht="15" customHeight="1">
      <c r="B3" s="30" t="s">
        <v>135</v>
      </c>
    </row>
    <row r="4" spans="2:14" ht="15" customHeight="1">
      <c r="B4" s="19" t="s">
        <v>2</v>
      </c>
      <c r="C4" s="20" t="s">
        <v>3</v>
      </c>
      <c r="D4" s="21" t="s">
        <v>4</v>
      </c>
      <c r="E4" s="22" t="s">
        <v>5</v>
      </c>
      <c r="F4" s="22" t="s">
        <v>6</v>
      </c>
      <c r="G4" s="21" t="s">
        <v>7</v>
      </c>
      <c r="H4" s="23" t="s">
        <v>8</v>
      </c>
      <c r="I4" s="23" t="s">
        <v>9</v>
      </c>
      <c r="J4" s="21" t="s">
        <v>10</v>
      </c>
      <c r="K4" s="21" t="s">
        <v>11</v>
      </c>
      <c r="L4" s="21" t="s">
        <v>12</v>
      </c>
      <c r="M4" s="23" t="s">
        <v>13</v>
      </c>
      <c r="N4" s="8"/>
    </row>
    <row r="5" spans="2:14" ht="15" customHeight="1">
      <c r="B5" s="24">
        <v>2024</v>
      </c>
      <c r="C5" s="18" t="s">
        <v>44</v>
      </c>
      <c r="D5" s="24">
        <v>40</v>
      </c>
      <c r="E5" s="25">
        <v>0.46800000000000003</v>
      </c>
      <c r="F5" s="25">
        <v>0.83199999999999996</v>
      </c>
      <c r="G5" s="24">
        <v>109</v>
      </c>
      <c r="H5" s="26">
        <v>2.5</v>
      </c>
      <c r="I5" s="26">
        <v>1.8</v>
      </c>
      <c r="J5" s="24">
        <v>27</v>
      </c>
      <c r="K5" s="24">
        <v>7</v>
      </c>
      <c r="L5" s="24">
        <v>767</v>
      </c>
      <c r="M5" s="26">
        <f>L5/D5</f>
        <v>19.175000000000001</v>
      </c>
      <c r="N5" s="12"/>
    </row>
    <row r="6" spans="2:14" ht="15" customHeight="1">
      <c r="B6" s="27" t="s">
        <v>15</v>
      </c>
      <c r="C6" s="18" t="s">
        <v>18</v>
      </c>
      <c r="D6" s="24">
        <v>233</v>
      </c>
      <c r="E6" s="25">
        <v>0.42599999999999999</v>
      </c>
      <c r="F6" s="25">
        <v>0.83899999999999997</v>
      </c>
      <c r="G6" s="24">
        <v>558</v>
      </c>
      <c r="H6" s="26">
        <v>2</v>
      </c>
      <c r="I6" s="26">
        <v>2.8</v>
      </c>
      <c r="J6" s="24">
        <v>178</v>
      </c>
      <c r="K6" s="24">
        <v>33</v>
      </c>
      <c r="L6" s="24">
        <v>3923</v>
      </c>
      <c r="M6" s="26">
        <f>L6/D6</f>
        <v>16.836909871244636</v>
      </c>
      <c r="N6" s="12"/>
    </row>
    <row r="7" spans="2:14" s="28" customFormat="1" ht="15" customHeight="1">
      <c r="B7" s="9"/>
      <c r="C7" s="1"/>
      <c r="D7" s="10"/>
      <c r="E7" s="11"/>
      <c r="F7" s="11"/>
      <c r="G7" s="10"/>
      <c r="H7" s="12"/>
      <c r="I7" s="12"/>
      <c r="J7" s="10"/>
      <c r="K7" s="10"/>
      <c r="L7" s="10"/>
      <c r="M7" s="12"/>
      <c r="N7" s="12"/>
    </row>
    <row r="8" spans="2:14" ht="15" customHeight="1">
      <c r="B8" s="30" t="s">
        <v>136</v>
      </c>
    </row>
    <row r="9" spans="2:14" ht="15" customHeight="1">
      <c r="B9" s="19" t="s">
        <v>2</v>
      </c>
      <c r="C9" s="20" t="s">
        <v>3</v>
      </c>
      <c r="D9" s="21" t="s">
        <v>4</v>
      </c>
      <c r="E9" s="22" t="s">
        <v>5</v>
      </c>
      <c r="F9" s="22" t="s">
        <v>6</v>
      </c>
      <c r="G9" s="21" t="s">
        <v>7</v>
      </c>
      <c r="H9" s="23" t="s">
        <v>8</v>
      </c>
      <c r="I9" s="23" t="s">
        <v>9</v>
      </c>
      <c r="J9" s="21" t="s">
        <v>10</v>
      </c>
      <c r="K9" s="21" t="s">
        <v>11</v>
      </c>
      <c r="L9" s="21" t="s">
        <v>12</v>
      </c>
      <c r="M9" s="23" t="s">
        <v>13</v>
      </c>
      <c r="N9" s="8"/>
    </row>
    <row r="10" spans="2:14" ht="15" customHeight="1">
      <c r="B10" s="24">
        <v>2019</v>
      </c>
      <c r="C10" s="18" t="s">
        <v>44</v>
      </c>
      <c r="D10" s="24">
        <v>24</v>
      </c>
      <c r="E10" s="25">
        <v>0.51100000000000001</v>
      </c>
      <c r="F10" s="25">
        <v>0.70599999999999996</v>
      </c>
      <c r="G10" s="24">
        <v>0</v>
      </c>
      <c r="H10" s="26">
        <v>2.2999999999999998</v>
      </c>
      <c r="I10" s="26">
        <v>0.2</v>
      </c>
      <c r="J10" s="24">
        <v>6</v>
      </c>
      <c r="K10" s="24">
        <v>7</v>
      </c>
      <c r="L10" s="24">
        <v>60</v>
      </c>
      <c r="M10" s="26">
        <f>L10/D10</f>
        <v>2.5</v>
      </c>
      <c r="N10" s="12"/>
    </row>
    <row r="11" spans="2:14" ht="15" customHeight="1">
      <c r="B11" s="27" t="s">
        <v>15</v>
      </c>
      <c r="C11" s="18" t="s">
        <v>38</v>
      </c>
      <c r="D11" s="24">
        <v>49</v>
      </c>
      <c r="E11" s="25">
        <v>0.495</v>
      </c>
      <c r="F11" s="25">
        <v>0.75</v>
      </c>
      <c r="G11" s="24">
        <v>0</v>
      </c>
      <c r="H11" s="26">
        <v>2.2999999999999998</v>
      </c>
      <c r="I11" s="26">
        <v>0.2</v>
      </c>
      <c r="J11" s="24">
        <v>14</v>
      </c>
      <c r="K11" s="24">
        <v>13</v>
      </c>
      <c r="L11" s="24">
        <v>114</v>
      </c>
      <c r="M11" s="26">
        <f>L11/D11</f>
        <v>2.3265306122448979</v>
      </c>
      <c r="N11" s="12"/>
    </row>
    <row r="12" spans="2:14" ht="15" customHeight="1">
      <c r="B12" s="9"/>
      <c r="D12" s="10"/>
      <c r="E12" s="11"/>
      <c r="F12" s="11"/>
      <c r="G12" s="10"/>
      <c r="H12" s="12"/>
      <c r="I12" s="12"/>
      <c r="J12" s="10"/>
      <c r="K12" s="10"/>
      <c r="L12" s="10"/>
      <c r="M12" s="12"/>
      <c r="N12" s="12"/>
    </row>
    <row r="13" spans="2:14" ht="15" customHeight="1">
      <c r="B13" s="30" t="s">
        <v>137</v>
      </c>
    </row>
    <row r="14" spans="2:14" ht="15" customHeight="1">
      <c r="B14" s="19" t="s">
        <v>2</v>
      </c>
      <c r="C14" s="20" t="s">
        <v>3</v>
      </c>
      <c r="D14" s="21" t="s">
        <v>4</v>
      </c>
      <c r="E14" s="22" t="s">
        <v>5</v>
      </c>
      <c r="F14" s="22" t="s">
        <v>6</v>
      </c>
      <c r="G14" s="21" t="s">
        <v>7</v>
      </c>
      <c r="H14" s="23" t="s">
        <v>8</v>
      </c>
      <c r="I14" s="23" t="s">
        <v>9</v>
      </c>
      <c r="J14" s="21" t="s">
        <v>10</v>
      </c>
      <c r="K14" s="21" t="s">
        <v>11</v>
      </c>
      <c r="L14" s="21" t="s">
        <v>12</v>
      </c>
      <c r="M14" s="23" t="s">
        <v>13</v>
      </c>
      <c r="N14" s="8"/>
    </row>
    <row r="15" spans="2:14" ht="15" customHeight="1">
      <c r="B15" s="24">
        <v>2021</v>
      </c>
      <c r="C15" s="18" t="s">
        <v>44</v>
      </c>
      <c r="D15" s="24">
        <v>27</v>
      </c>
      <c r="E15" s="25">
        <v>0.40400000000000003</v>
      </c>
      <c r="F15" s="25">
        <v>0.9</v>
      </c>
      <c r="G15" s="24">
        <v>4</v>
      </c>
      <c r="H15" s="26">
        <v>3.9</v>
      </c>
      <c r="I15" s="26">
        <v>1.5</v>
      </c>
      <c r="J15" s="24">
        <v>0</v>
      </c>
      <c r="K15" s="24">
        <v>4</v>
      </c>
      <c r="L15" s="24">
        <v>174</v>
      </c>
      <c r="M15" s="26">
        <f>L15/D15</f>
        <v>6.4444444444444446</v>
      </c>
      <c r="N15" s="12"/>
    </row>
    <row r="16" spans="2:14" ht="15" customHeight="1">
      <c r="B16" s="27" t="s">
        <v>15</v>
      </c>
      <c r="C16" s="18" t="s">
        <v>20</v>
      </c>
      <c r="D16" s="24">
        <v>315</v>
      </c>
      <c r="E16" s="25">
        <v>0.499</v>
      </c>
      <c r="F16" s="25">
        <v>0.82399999999999995</v>
      </c>
      <c r="G16" s="24">
        <v>22</v>
      </c>
      <c r="H16" s="26">
        <v>4.7</v>
      </c>
      <c r="I16" s="26">
        <v>1</v>
      </c>
      <c r="J16" s="24">
        <v>104</v>
      </c>
      <c r="K16" s="24">
        <v>166</v>
      </c>
      <c r="L16" s="24">
        <v>2672</v>
      </c>
      <c r="M16" s="26">
        <f>L16/D16</f>
        <v>8.4825396825396826</v>
      </c>
      <c r="N16" s="12"/>
    </row>
    <row r="17" spans="2:14" ht="15" customHeight="1">
      <c r="B17" s="9"/>
      <c r="D17" s="10"/>
      <c r="E17" s="11"/>
      <c r="F17" s="11"/>
      <c r="G17" s="10"/>
      <c r="H17" s="12"/>
      <c r="I17" s="12"/>
      <c r="J17" s="10"/>
      <c r="K17" s="10"/>
      <c r="L17" s="10"/>
      <c r="M17" s="12"/>
      <c r="N17" s="12"/>
    </row>
    <row r="18" spans="2:14" ht="15" customHeight="1">
      <c r="B18" s="30" t="s">
        <v>138</v>
      </c>
    </row>
    <row r="19" spans="2:14" ht="15" customHeight="1">
      <c r="B19" s="19" t="s">
        <v>2</v>
      </c>
      <c r="C19" s="20" t="s">
        <v>3</v>
      </c>
      <c r="D19" s="21" t="s">
        <v>4</v>
      </c>
      <c r="E19" s="22" t="s">
        <v>5</v>
      </c>
      <c r="F19" s="22" t="s">
        <v>6</v>
      </c>
      <c r="G19" s="21" t="s">
        <v>7</v>
      </c>
      <c r="H19" s="23" t="s">
        <v>8</v>
      </c>
      <c r="I19" s="23" t="s">
        <v>9</v>
      </c>
      <c r="J19" s="21" t="s">
        <v>10</v>
      </c>
      <c r="K19" s="21" t="s">
        <v>11</v>
      </c>
      <c r="L19" s="21" t="s">
        <v>12</v>
      </c>
      <c r="M19" s="23" t="s">
        <v>13</v>
      </c>
      <c r="N19" s="8"/>
    </row>
    <row r="20" spans="2:14" ht="15" customHeight="1">
      <c r="B20" s="24">
        <v>2021</v>
      </c>
      <c r="C20" s="18" t="s">
        <v>44</v>
      </c>
      <c r="D20" s="24">
        <v>14</v>
      </c>
      <c r="E20" s="25">
        <v>0.23100000000000001</v>
      </c>
      <c r="F20" s="25">
        <v>0.5</v>
      </c>
      <c r="G20" s="24">
        <v>1</v>
      </c>
      <c r="H20" s="26">
        <v>0.9</v>
      </c>
      <c r="I20" s="26">
        <v>0.6</v>
      </c>
      <c r="J20" s="24">
        <v>3</v>
      </c>
      <c r="K20" s="24">
        <v>2</v>
      </c>
      <c r="L20" s="24">
        <v>15</v>
      </c>
      <c r="M20" s="26">
        <f>L20/D20</f>
        <v>1.0714285714285714</v>
      </c>
      <c r="N20" s="12"/>
    </row>
    <row r="21" spans="2:14" ht="15" customHeight="1">
      <c r="B21" s="27" t="s">
        <v>15</v>
      </c>
      <c r="C21" s="18" t="s">
        <v>40</v>
      </c>
      <c r="D21" s="24">
        <v>14</v>
      </c>
      <c r="E21" s="25">
        <v>0.23100000000000001</v>
      </c>
      <c r="F21" s="25">
        <v>0.5</v>
      </c>
      <c r="G21" s="24">
        <v>1</v>
      </c>
      <c r="H21" s="26">
        <v>0.9</v>
      </c>
      <c r="I21" s="26">
        <v>0.6</v>
      </c>
      <c r="J21" s="24">
        <v>3</v>
      </c>
      <c r="K21" s="24">
        <v>2</v>
      </c>
      <c r="L21" s="24">
        <v>15</v>
      </c>
      <c r="M21" s="26">
        <f>L21/D21</f>
        <v>1.0714285714285714</v>
      </c>
      <c r="N21" s="12"/>
    </row>
    <row r="22" spans="2:14" s="28" customFormat="1" ht="15" customHeight="1">
      <c r="B22" s="9"/>
      <c r="C22" s="1"/>
      <c r="D22" s="10"/>
      <c r="E22" s="11"/>
      <c r="F22" s="11"/>
      <c r="G22" s="10"/>
      <c r="H22" s="12"/>
      <c r="I22" s="12"/>
      <c r="J22" s="10"/>
      <c r="K22" s="10"/>
      <c r="L22" s="10"/>
      <c r="M22" s="12"/>
      <c r="N22" s="12"/>
    </row>
    <row r="23" spans="2:14" s="28" customFormat="1" ht="15" customHeight="1">
      <c r="B23" s="30" t="s">
        <v>139</v>
      </c>
      <c r="C23" s="1"/>
      <c r="D23" s="1"/>
      <c r="E23" s="2"/>
      <c r="F23" s="2"/>
      <c r="G23" s="1"/>
      <c r="H23" s="3"/>
      <c r="I23" s="3"/>
      <c r="J23" s="1"/>
      <c r="K23" s="1"/>
      <c r="L23" s="1"/>
      <c r="M23" s="3"/>
      <c r="N23" s="12"/>
    </row>
    <row r="24" spans="2:14" ht="15" customHeight="1">
      <c r="B24" s="19" t="s">
        <v>2</v>
      </c>
      <c r="C24" s="20" t="s">
        <v>3</v>
      </c>
      <c r="D24" s="21" t="s">
        <v>4</v>
      </c>
      <c r="E24" s="22" t="s">
        <v>5</v>
      </c>
      <c r="F24" s="22" t="s">
        <v>6</v>
      </c>
      <c r="G24" s="21" t="s">
        <v>7</v>
      </c>
      <c r="H24" s="23" t="s">
        <v>8</v>
      </c>
      <c r="I24" s="23" t="s">
        <v>9</v>
      </c>
      <c r="J24" s="21" t="s">
        <v>10</v>
      </c>
      <c r="K24" s="21" t="s">
        <v>11</v>
      </c>
      <c r="L24" s="21" t="s">
        <v>12</v>
      </c>
      <c r="M24" s="23" t="s">
        <v>13</v>
      </c>
      <c r="N24" s="12"/>
    </row>
    <row r="25" spans="2:14" ht="15" customHeight="1">
      <c r="B25" s="24">
        <v>2021</v>
      </c>
      <c r="C25" s="18" t="s">
        <v>44</v>
      </c>
      <c r="D25" s="24">
        <v>7</v>
      </c>
      <c r="E25" s="25">
        <v>0.48299999999999998</v>
      </c>
      <c r="F25" s="25">
        <v>0.85699999999999998</v>
      </c>
      <c r="G25" s="24">
        <v>0</v>
      </c>
      <c r="H25" s="26">
        <v>2.6</v>
      </c>
      <c r="I25" s="26">
        <v>0.3</v>
      </c>
      <c r="J25" s="24">
        <v>3</v>
      </c>
      <c r="K25" s="24">
        <v>3</v>
      </c>
      <c r="L25" s="24">
        <v>34</v>
      </c>
      <c r="M25" s="26">
        <f>L25/D25</f>
        <v>4.8571428571428568</v>
      </c>
      <c r="N25" s="12"/>
    </row>
    <row r="26" spans="2:14" ht="15" customHeight="1">
      <c r="B26" s="27" t="s">
        <v>15</v>
      </c>
      <c r="C26" s="18" t="s">
        <v>40</v>
      </c>
      <c r="D26" s="24">
        <v>7</v>
      </c>
      <c r="E26" s="25">
        <v>0.48299999999999998</v>
      </c>
      <c r="F26" s="25">
        <v>0.85699999999999998</v>
      </c>
      <c r="G26" s="24">
        <v>0</v>
      </c>
      <c r="H26" s="26">
        <v>2.6</v>
      </c>
      <c r="I26" s="26">
        <v>0.3</v>
      </c>
      <c r="J26" s="24">
        <v>3</v>
      </c>
      <c r="K26" s="24">
        <v>3</v>
      </c>
      <c r="L26" s="24">
        <v>34</v>
      </c>
      <c r="M26" s="26">
        <f>L26/D26</f>
        <v>4.8571428571428568</v>
      </c>
    </row>
    <row r="27" spans="2:14" s="5" customFormat="1" ht="15" customHeight="1">
      <c r="B27" s="15"/>
      <c r="E27" s="16"/>
      <c r="F27" s="16"/>
      <c r="H27" s="17"/>
      <c r="I27" s="17"/>
      <c r="M27" s="17"/>
      <c r="N27" s="17"/>
    </row>
    <row r="28" spans="2:14" ht="15" customHeight="1">
      <c r="B28" s="30" t="s">
        <v>140</v>
      </c>
    </row>
    <row r="29" spans="2:14" ht="15" customHeight="1">
      <c r="B29" s="19" t="s">
        <v>2</v>
      </c>
      <c r="C29" s="20" t="s">
        <v>3</v>
      </c>
      <c r="D29" s="21" t="s">
        <v>4</v>
      </c>
      <c r="E29" s="22" t="s">
        <v>5</v>
      </c>
      <c r="F29" s="22" t="s">
        <v>6</v>
      </c>
      <c r="G29" s="21" t="s">
        <v>7</v>
      </c>
      <c r="H29" s="23" t="s">
        <v>8</v>
      </c>
      <c r="I29" s="23" t="s">
        <v>9</v>
      </c>
      <c r="J29" s="21" t="s">
        <v>10</v>
      </c>
      <c r="K29" s="21" t="s">
        <v>11</v>
      </c>
      <c r="L29" s="21" t="s">
        <v>12</v>
      </c>
      <c r="M29" s="23" t="s">
        <v>13</v>
      </c>
      <c r="N29" s="8"/>
    </row>
    <row r="30" spans="2:14" ht="15" customHeight="1">
      <c r="B30" s="24">
        <v>2021</v>
      </c>
      <c r="C30" s="18" t="s">
        <v>44</v>
      </c>
      <c r="D30" s="24">
        <v>26</v>
      </c>
      <c r="E30" s="25">
        <v>0.372</v>
      </c>
      <c r="F30" s="25">
        <v>0.68400000000000005</v>
      </c>
      <c r="G30" s="24">
        <v>5</v>
      </c>
      <c r="H30" s="26">
        <v>6.3</v>
      </c>
      <c r="I30" s="26">
        <v>2</v>
      </c>
      <c r="J30" s="24">
        <v>16</v>
      </c>
      <c r="K30" s="24">
        <v>39</v>
      </c>
      <c r="L30" s="24">
        <v>152</v>
      </c>
      <c r="M30" s="26">
        <f>L30/D30</f>
        <v>5.8461538461538458</v>
      </c>
      <c r="N30" s="12"/>
    </row>
    <row r="31" spans="2:14" ht="15" customHeight="1">
      <c r="B31" s="27" t="s">
        <v>15</v>
      </c>
      <c r="C31" s="18" t="s">
        <v>50</v>
      </c>
      <c r="D31" s="24">
        <v>269</v>
      </c>
      <c r="E31" s="25">
        <v>0.439</v>
      </c>
      <c r="F31" s="25">
        <v>0.77700000000000002</v>
      </c>
      <c r="G31" s="24">
        <v>22</v>
      </c>
      <c r="H31" s="26">
        <v>5.9</v>
      </c>
      <c r="I31" s="26">
        <v>1.4</v>
      </c>
      <c r="J31" s="24">
        <v>204</v>
      </c>
      <c r="K31" s="24">
        <v>367</v>
      </c>
      <c r="L31" s="24">
        <v>1918</v>
      </c>
      <c r="M31" s="26">
        <f>L31/D31</f>
        <v>7.1301115241635689</v>
      </c>
      <c r="N31" s="12"/>
    </row>
    <row r="32" spans="2:14" s="28" customFormat="1" ht="15" customHeight="1">
      <c r="B32" s="9"/>
      <c r="C32" s="1"/>
      <c r="D32" s="10"/>
      <c r="E32" s="11"/>
      <c r="F32" s="11"/>
      <c r="G32" s="10"/>
      <c r="H32" s="12"/>
      <c r="I32" s="12"/>
      <c r="J32" s="10"/>
      <c r="K32" s="10"/>
      <c r="L32" s="10"/>
      <c r="M32" s="12"/>
      <c r="N32" s="12"/>
    </row>
    <row r="33" spans="2:14" s="28" customFormat="1" ht="15" customHeight="1">
      <c r="B33" s="30" t="s">
        <v>141</v>
      </c>
      <c r="C33" s="1"/>
      <c r="D33" s="1"/>
      <c r="E33" s="2"/>
      <c r="F33" s="2"/>
      <c r="G33" s="1"/>
      <c r="H33" s="3"/>
      <c r="I33" s="3"/>
      <c r="J33" s="1"/>
      <c r="K33" s="1"/>
      <c r="L33" s="1"/>
      <c r="M33" s="3"/>
      <c r="N33" s="12"/>
    </row>
    <row r="34" spans="2:14" ht="15" customHeight="1">
      <c r="B34" s="19" t="s">
        <v>2</v>
      </c>
      <c r="C34" s="20" t="s">
        <v>3</v>
      </c>
      <c r="D34" s="21" t="s">
        <v>4</v>
      </c>
      <c r="E34" s="22" t="s">
        <v>5</v>
      </c>
      <c r="F34" s="22" t="s">
        <v>6</v>
      </c>
      <c r="G34" s="21" t="s">
        <v>7</v>
      </c>
      <c r="H34" s="23" t="s">
        <v>8</v>
      </c>
      <c r="I34" s="23" t="s">
        <v>9</v>
      </c>
      <c r="J34" s="21" t="s">
        <v>10</v>
      </c>
      <c r="K34" s="21" t="s">
        <v>11</v>
      </c>
      <c r="L34" s="21" t="s">
        <v>12</v>
      </c>
      <c r="M34" s="23" t="s">
        <v>13</v>
      </c>
      <c r="N34" s="12"/>
    </row>
    <row r="35" spans="2:14" ht="15" customHeight="1">
      <c r="B35" s="24">
        <v>2021</v>
      </c>
      <c r="C35" s="18" t="s">
        <v>44</v>
      </c>
      <c r="D35" s="24">
        <v>6</v>
      </c>
      <c r="E35" s="25">
        <v>0.27800000000000002</v>
      </c>
      <c r="F35" s="25">
        <v>0.5</v>
      </c>
      <c r="G35" s="24">
        <v>2</v>
      </c>
      <c r="H35" s="26">
        <v>1</v>
      </c>
      <c r="I35" s="26">
        <v>0.3</v>
      </c>
      <c r="J35" s="24">
        <v>3</v>
      </c>
      <c r="K35" s="24">
        <v>0</v>
      </c>
      <c r="L35" s="24">
        <v>13</v>
      </c>
      <c r="M35" s="26">
        <f>L35/D35</f>
        <v>2.1666666666666665</v>
      </c>
      <c r="N35" s="12"/>
    </row>
    <row r="36" spans="2:14" ht="15" customHeight="1">
      <c r="B36" s="27" t="s">
        <v>15</v>
      </c>
      <c r="C36" s="18" t="s">
        <v>40</v>
      </c>
      <c r="D36" s="24">
        <v>6</v>
      </c>
      <c r="E36" s="25">
        <v>0.27800000000000002</v>
      </c>
      <c r="F36" s="25">
        <v>0.5</v>
      </c>
      <c r="G36" s="24">
        <v>2</v>
      </c>
      <c r="H36" s="26">
        <v>1</v>
      </c>
      <c r="I36" s="26">
        <v>0.3</v>
      </c>
      <c r="J36" s="24">
        <v>3</v>
      </c>
      <c r="K36" s="24">
        <v>0</v>
      </c>
      <c r="L36" s="24">
        <v>13</v>
      </c>
      <c r="M36" s="26">
        <f>L36/D36</f>
        <v>2.1666666666666665</v>
      </c>
    </row>
    <row r="37" spans="2:14" s="5" customFormat="1" ht="15" customHeight="1">
      <c r="B37" s="15"/>
      <c r="E37" s="16"/>
      <c r="F37" s="16"/>
      <c r="H37" s="17"/>
      <c r="I37" s="17"/>
      <c r="M37" s="17"/>
      <c r="N37" s="17"/>
    </row>
    <row r="38" spans="2:14" ht="15" customHeight="1">
      <c r="B38" s="30" t="s">
        <v>142</v>
      </c>
    </row>
    <row r="39" spans="2:14" ht="15" customHeight="1">
      <c r="B39" s="19" t="s">
        <v>2</v>
      </c>
      <c r="C39" s="20" t="s">
        <v>3</v>
      </c>
      <c r="D39" s="21" t="s">
        <v>4</v>
      </c>
      <c r="E39" s="22" t="s">
        <v>5</v>
      </c>
      <c r="F39" s="22" t="s">
        <v>6</v>
      </c>
      <c r="G39" s="21" t="s">
        <v>7</v>
      </c>
      <c r="H39" s="23" t="s">
        <v>8</v>
      </c>
      <c r="I39" s="23" t="s">
        <v>9</v>
      </c>
      <c r="J39" s="21" t="s">
        <v>10</v>
      </c>
      <c r="K39" s="21" t="s">
        <v>11</v>
      </c>
      <c r="L39" s="21" t="s">
        <v>12</v>
      </c>
      <c r="M39" s="23" t="s">
        <v>13</v>
      </c>
      <c r="N39" s="8"/>
    </row>
    <row r="40" spans="2:14" ht="15" customHeight="1">
      <c r="B40" s="24">
        <v>2021</v>
      </c>
      <c r="C40" s="18" t="s">
        <v>143</v>
      </c>
      <c r="D40" s="24">
        <v>20</v>
      </c>
      <c r="E40" s="25">
        <v>0.44600000000000001</v>
      </c>
      <c r="F40" s="25">
        <v>0.72199999999999998</v>
      </c>
      <c r="G40" s="24">
        <v>7</v>
      </c>
      <c r="H40" s="26">
        <v>3.7</v>
      </c>
      <c r="I40" s="26">
        <v>0.9</v>
      </c>
      <c r="J40" s="24">
        <v>5</v>
      </c>
      <c r="K40" s="24">
        <v>4</v>
      </c>
      <c r="L40" s="24">
        <v>110</v>
      </c>
      <c r="M40" s="26">
        <f>L40/D40</f>
        <v>5.5</v>
      </c>
      <c r="N40" s="12"/>
    </row>
    <row r="41" spans="2:14" ht="15" customHeight="1">
      <c r="B41" s="27" t="s">
        <v>15</v>
      </c>
      <c r="C41" s="18" t="s">
        <v>23</v>
      </c>
      <c r="D41" s="24">
        <v>55</v>
      </c>
      <c r="E41" s="25">
        <v>0.47</v>
      </c>
      <c r="F41" s="25">
        <v>0.61699999999999999</v>
      </c>
      <c r="G41" s="24">
        <v>7</v>
      </c>
      <c r="H41" s="26">
        <v>3.6</v>
      </c>
      <c r="I41" s="26">
        <v>0.5</v>
      </c>
      <c r="J41" s="24">
        <v>10</v>
      </c>
      <c r="K41" s="24">
        <v>9</v>
      </c>
      <c r="L41" s="24">
        <v>259</v>
      </c>
      <c r="M41" s="26">
        <f>L41/D41</f>
        <v>4.709090909090909</v>
      </c>
      <c r="N41" s="12"/>
    </row>
    <row r="43" spans="2:14" s="28" customFormat="1" ht="15" customHeight="1">
      <c r="B43" s="30" t="s">
        <v>144</v>
      </c>
      <c r="C43" s="1"/>
      <c r="D43" s="1"/>
      <c r="E43" s="2"/>
      <c r="F43" s="2"/>
      <c r="G43" s="1"/>
      <c r="H43" s="3"/>
      <c r="I43" s="3"/>
      <c r="J43" s="1"/>
      <c r="K43" s="1"/>
      <c r="L43" s="1"/>
      <c r="M43" s="3"/>
      <c r="N43" s="12"/>
    </row>
    <row r="44" spans="2:14" ht="15" customHeight="1">
      <c r="B44" s="19" t="s">
        <v>2</v>
      </c>
      <c r="C44" s="20" t="s">
        <v>3</v>
      </c>
      <c r="D44" s="21" t="s">
        <v>4</v>
      </c>
      <c r="E44" s="22" t="s">
        <v>5</v>
      </c>
      <c r="F44" s="22" t="s">
        <v>6</v>
      </c>
      <c r="G44" s="21" t="s">
        <v>7</v>
      </c>
      <c r="H44" s="23" t="s">
        <v>8</v>
      </c>
      <c r="I44" s="23" t="s">
        <v>9</v>
      </c>
      <c r="J44" s="21" t="s">
        <v>10</v>
      </c>
      <c r="K44" s="21" t="s">
        <v>11</v>
      </c>
      <c r="L44" s="21" t="s">
        <v>12</v>
      </c>
      <c r="M44" s="23" t="s">
        <v>13</v>
      </c>
      <c r="N44" s="12"/>
    </row>
    <row r="45" spans="2:14" ht="15" customHeight="1">
      <c r="B45" s="24">
        <v>2021</v>
      </c>
      <c r="C45" s="18" t="s">
        <v>44</v>
      </c>
      <c r="D45" s="24">
        <v>19</v>
      </c>
      <c r="E45" s="25">
        <v>0.28299999999999997</v>
      </c>
      <c r="F45" s="25">
        <v>0.5</v>
      </c>
      <c r="G45" s="24">
        <v>8</v>
      </c>
      <c r="H45" s="26">
        <v>1</v>
      </c>
      <c r="I45" s="26">
        <v>0.9</v>
      </c>
      <c r="J45" s="24">
        <v>7</v>
      </c>
      <c r="K45" s="24">
        <v>0</v>
      </c>
      <c r="L45" s="24">
        <v>36</v>
      </c>
      <c r="M45" s="26">
        <f>L45/D45</f>
        <v>1.8947368421052631</v>
      </c>
      <c r="N45" s="12"/>
    </row>
    <row r="46" spans="2:14" ht="15" customHeight="1">
      <c r="B46" s="27" t="s">
        <v>15</v>
      </c>
      <c r="C46" s="18" t="s">
        <v>40</v>
      </c>
      <c r="D46" s="24">
        <v>19</v>
      </c>
      <c r="E46" s="25">
        <v>0.28299999999999997</v>
      </c>
      <c r="F46" s="25">
        <v>0.5</v>
      </c>
      <c r="G46" s="24">
        <v>8</v>
      </c>
      <c r="H46" s="26">
        <v>1</v>
      </c>
      <c r="I46" s="26">
        <v>0.9</v>
      </c>
      <c r="J46" s="24">
        <v>7</v>
      </c>
      <c r="K46" s="24">
        <v>0</v>
      </c>
      <c r="L46" s="24">
        <v>36</v>
      </c>
      <c r="M46" s="26">
        <f>L46/D46</f>
        <v>1.8947368421052631</v>
      </c>
    </row>
    <row r="47" spans="2:14" s="5" customFormat="1" ht="15" customHeight="1">
      <c r="B47" s="15"/>
      <c r="E47" s="16"/>
      <c r="F47" s="16"/>
      <c r="H47" s="17"/>
      <c r="I47" s="17"/>
      <c r="M47" s="17"/>
      <c r="N47" s="17"/>
    </row>
    <row r="48" spans="2:14" ht="15" customHeight="1">
      <c r="B48" s="30" t="s">
        <v>145</v>
      </c>
    </row>
    <row r="49" spans="2:14" ht="15" customHeight="1">
      <c r="B49" s="19" t="s">
        <v>2</v>
      </c>
      <c r="C49" s="20" t="s">
        <v>3</v>
      </c>
      <c r="D49" s="21" t="s">
        <v>4</v>
      </c>
      <c r="E49" s="22" t="s">
        <v>5</v>
      </c>
      <c r="F49" s="22" t="s">
        <v>6</v>
      </c>
      <c r="G49" s="21" t="s">
        <v>7</v>
      </c>
      <c r="H49" s="23" t="s">
        <v>8</v>
      </c>
      <c r="I49" s="23" t="s">
        <v>9</v>
      </c>
      <c r="J49" s="21" t="s">
        <v>10</v>
      </c>
      <c r="K49" s="21" t="s">
        <v>11</v>
      </c>
      <c r="L49" s="21" t="s">
        <v>12</v>
      </c>
      <c r="M49" s="23" t="s">
        <v>13</v>
      </c>
      <c r="N49" s="8"/>
    </row>
    <row r="50" spans="2:14" ht="15" customHeight="1">
      <c r="B50" s="24">
        <v>2020</v>
      </c>
      <c r="C50" s="18" t="s">
        <v>133</v>
      </c>
      <c r="D50" s="24">
        <v>25</v>
      </c>
      <c r="E50" s="25">
        <v>0.52900000000000003</v>
      </c>
      <c r="F50" s="25">
        <v>0.53800000000000003</v>
      </c>
      <c r="G50" s="24">
        <v>0</v>
      </c>
      <c r="H50" s="26">
        <v>2.8</v>
      </c>
      <c r="I50" s="26">
        <v>0.5</v>
      </c>
      <c r="J50" s="24">
        <v>7</v>
      </c>
      <c r="K50" s="24">
        <v>4</v>
      </c>
      <c r="L50" s="24">
        <v>50</v>
      </c>
      <c r="M50" s="26">
        <f>L50/D50</f>
        <v>2</v>
      </c>
      <c r="N50" s="12"/>
    </row>
    <row r="51" spans="2:14" ht="15" customHeight="1">
      <c r="B51" s="27" t="s">
        <v>15</v>
      </c>
      <c r="C51" s="18" t="s">
        <v>23</v>
      </c>
      <c r="D51" s="24">
        <v>75</v>
      </c>
      <c r="E51" s="25">
        <v>0.54900000000000004</v>
      </c>
      <c r="F51" s="25">
        <v>0.58599999999999997</v>
      </c>
      <c r="G51" s="24">
        <v>0</v>
      </c>
      <c r="H51" s="26">
        <v>2.9</v>
      </c>
      <c r="I51" s="26">
        <v>0.3</v>
      </c>
      <c r="J51" s="24">
        <v>18</v>
      </c>
      <c r="K51" s="24">
        <v>22</v>
      </c>
      <c r="L51" s="24">
        <v>219</v>
      </c>
      <c r="M51" s="26">
        <f>L51/D51</f>
        <v>2.92</v>
      </c>
      <c r="N51" s="12"/>
    </row>
    <row r="52" spans="2:14" ht="15" customHeight="1">
      <c r="B52" s="9"/>
      <c r="D52" s="10"/>
      <c r="E52" s="11"/>
      <c r="F52" s="11"/>
      <c r="G52" s="10"/>
      <c r="H52" s="12"/>
      <c r="I52" s="12"/>
      <c r="J52" s="10"/>
      <c r="K52" s="10"/>
      <c r="L52" s="10"/>
      <c r="M52" s="12"/>
      <c r="N52" s="12"/>
    </row>
    <row r="53" spans="2:14" ht="15" customHeight="1">
      <c r="B53" s="30" t="s">
        <v>146</v>
      </c>
      <c r="N53" s="8"/>
    </row>
    <row r="54" spans="2:14" ht="15" customHeight="1">
      <c r="B54" s="19" t="s">
        <v>2</v>
      </c>
      <c r="C54" s="20" t="s">
        <v>3</v>
      </c>
      <c r="D54" s="21" t="s">
        <v>4</v>
      </c>
      <c r="E54" s="22" t="s">
        <v>5</v>
      </c>
      <c r="F54" s="22" t="s">
        <v>6</v>
      </c>
      <c r="G54" s="21" t="s">
        <v>7</v>
      </c>
      <c r="H54" s="23" t="s">
        <v>8</v>
      </c>
      <c r="I54" s="23" t="s">
        <v>9</v>
      </c>
      <c r="J54" s="21" t="s">
        <v>10</v>
      </c>
      <c r="K54" s="21" t="s">
        <v>11</v>
      </c>
      <c r="L54" s="21" t="s">
        <v>12</v>
      </c>
      <c r="M54" s="23" t="s">
        <v>13</v>
      </c>
      <c r="N54" s="12"/>
    </row>
    <row r="55" spans="2:14" ht="15" customHeight="1">
      <c r="B55" s="24">
        <v>2024</v>
      </c>
      <c r="C55" s="18" t="s">
        <v>133</v>
      </c>
      <c r="D55" s="24">
        <v>32</v>
      </c>
      <c r="E55" s="25">
        <v>0.49</v>
      </c>
      <c r="F55" s="25">
        <v>0.81799999999999995</v>
      </c>
      <c r="G55" s="24">
        <v>27</v>
      </c>
      <c r="H55" s="26">
        <v>4</v>
      </c>
      <c r="I55" s="26">
        <v>1.5</v>
      </c>
      <c r="J55" s="24">
        <v>19</v>
      </c>
      <c r="K55" s="24">
        <v>24</v>
      </c>
      <c r="L55" s="24">
        <v>197</v>
      </c>
      <c r="M55" s="26">
        <f>L55/D55</f>
        <v>6.15625</v>
      </c>
      <c r="N55" s="12"/>
    </row>
    <row r="56" spans="2:14" ht="15" customHeight="1">
      <c r="B56" s="27" t="s">
        <v>15</v>
      </c>
      <c r="C56" s="18" t="s">
        <v>23</v>
      </c>
      <c r="D56" s="24">
        <v>79</v>
      </c>
      <c r="E56" s="25">
        <v>0.436</v>
      </c>
      <c r="F56" s="25">
        <v>0.61799999999999999</v>
      </c>
      <c r="G56" s="24">
        <v>45</v>
      </c>
      <c r="H56" s="26">
        <v>4.3</v>
      </c>
      <c r="I56" s="26">
        <v>1.3</v>
      </c>
      <c r="J56" s="24">
        <v>51</v>
      </c>
      <c r="K56" s="24">
        <v>65</v>
      </c>
      <c r="L56" s="24">
        <v>399</v>
      </c>
      <c r="M56" s="26">
        <f>L56/D56</f>
        <v>5.0506329113924053</v>
      </c>
      <c r="N56" s="17"/>
    </row>
    <row r="57" spans="2:14" ht="15" customHeight="1">
      <c r="B57" s="15"/>
      <c r="C57" s="5"/>
      <c r="D57" s="5"/>
      <c r="E57" s="16"/>
      <c r="F57" s="16"/>
      <c r="G57" s="5"/>
      <c r="H57" s="17"/>
      <c r="I57" s="17"/>
      <c r="J57" s="5"/>
      <c r="K57" s="5"/>
      <c r="L57" s="17"/>
      <c r="M57" s="17"/>
    </row>
    <row r="58" spans="2:14" ht="15" customHeight="1">
      <c r="B58" s="30" t="s">
        <v>147</v>
      </c>
      <c r="N58" s="8"/>
    </row>
    <row r="59" spans="2:14" ht="15" customHeight="1">
      <c r="B59" s="19" t="s">
        <v>2</v>
      </c>
      <c r="C59" s="20" t="s">
        <v>3</v>
      </c>
      <c r="D59" s="21" t="s">
        <v>4</v>
      </c>
      <c r="E59" s="22" t="s">
        <v>5</v>
      </c>
      <c r="F59" s="22" t="s">
        <v>6</v>
      </c>
      <c r="G59" s="21" t="s">
        <v>7</v>
      </c>
      <c r="H59" s="23" t="s">
        <v>8</v>
      </c>
      <c r="I59" s="23" t="s">
        <v>9</v>
      </c>
      <c r="J59" s="21" t="s">
        <v>10</v>
      </c>
      <c r="K59" s="21" t="s">
        <v>11</v>
      </c>
      <c r="L59" s="21" t="s">
        <v>12</v>
      </c>
      <c r="M59" s="23" t="s">
        <v>13</v>
      </c>
      <c r="N59" s="12"/>
    </row>
    <row r="60" spans="2:14" ht="15" customHeight="1">
      <c r="B60" s="24">
        <v>2024</v>
      </c>
      <c r="C60" s="18" t="s">
        <v>44</v>
      </c>
      <c r="D60" s="24">
        <v>26</v>
      </c>
      <c r="E60" s="25">
        <v>0.40200000000000002</v>
      </c>
      <c r="F60" s="25">
        <v>0.66700000000000004</v>
      </c>
      <c r="G60" s="24">
        <v>17</v>
      </c>
      <c r="H60" s="26">
        <v>1.8</v>
      </c>
      <c r="I60" s="26">
        <v>1.7</v>
      </c>
      <c r="J60" s="24">
        <v>18</v>
      </c>
      <c r="K60" s="24">
        <v>6</v>
      </c>
      <c r="L60" s="24">
        <v>123</v>
      </c>
      <c r="M60" s="26">
        <f>L60/D60</f>
        <v>4.7307692307692308</v>
      </c>
      <c r="N60" s="12"/>
    </row>
    <row r="61" spans="2:14" ht="15" customHeight="1">
      <c r="B61" s="27" t="s">
        <v>15</v>
      </c>
      <c r="C61" s="18" t="s">
        <v>23</v>
      </c>
      <c r="D61" s="24">
        <v>92</v>
      </c>
      <c r="E61" s="25">
        <v>0.40300000000000002</v>
      </c>
      <c r="F61" s="25">
        <v>0.75</v>
      </c>
      <c r="G61" s="24">
        <v>79</v>
      </c>
      <c r="H61" s="26" t="s">
        <v>148</v>
      </c>
      <c r="I61" s="26">
        <v>1.9</v>
      </c>
      <c r="J61" s="24">
        <v>58</v>
      </c>
      <c r="K61" s="24">
        <v>21</v>
      </c>
      <c r="L61" s="24">
        <v>557</v>
      </c>
      <c r="M61" s="26">
        <f>L61/D61</f>
        <v>6.0543478260869561</v>
      </c>
      <c r="N61" s="17"/>
    </row>
    <row r="62" spans="2:14" ht="15" customHeight="1">
      <c r="B62" s="15"/>
      <c r="C62" s="5"/>
      <c r="D62" s="5"/>
      <c r="E62" s="16"/>
      <c r="F62" s="16"/>
      <c r="G62" s="5"/>
      <c r="H62" s="17"/>
      <c r="I62" s="17"/>
      <c r="J62" s="5"/>
      <c r="K62" s="5"/>
      <c r="L62" s="17"/>
      <c r="M62" s="17"/>
    </row>
    <row r="63" spans="2:14" ht="15" customHeight="1">
      <c r="B63" s="30" t="s">
        <v>149</v>
      </c>
    </row>
    <row r="64" spans="2:14" ht="15" customHeight="1">
      <c r="B64" s="19" t="s">
        <v>2</v>
      </c>
      <c r="C64" s="20" t="s">
        <v>3</v>
      </c>
      <c r="D64" s="21" t="s">
        <v>4</v>
      </c>
      <c r="E64" s="22" t="s">
        <v>5</v>
      </c>
      <c r="F64" s="22" t="s">
        <v>6</v>
      </c>
      <c r="G64" s="21" t="s">
        <v>7</v>
      </c>
      <c r="H64" s="23" t="s">
        <v>8</v>
      </c>
      <c r="I64" s="23" t="s">
        <v>9</v>
      </c>
      <c r="J64" s="21" t="s">
        <v>10</v>
      </c>
      <c r="K64" s="21" t="s">
        <v>11</v>
      </c>
      <c r="L64" s="21" t="s">
        <v>12</v>
      </c>
      <c r="M64" s="23" t="s">
        <v>13</v>
      </c>
      <c r="N64" s="8"/>
    </row>
    <row r="65" spans="2:14" ht="15" customHeight="1">
      <c r="B65" s="24">
        <v>2024</v>
      </c>
      <c r="C65" s="18" t="s">
        <v>44</v>
      </c>
      <c r="D65" s="24">
        <v>39</v>
      </c>
      <c r="E65" s="25">
        <v>0.41099999999999998</v>
      </c>
      <c r="F65" s="25">
        <v>0.84599999999999997</v>
      </c>
      <c r="G65" s="24">
        <v>15</v>
      </c>
      <c r="H65" s="26">
        <v>1.4</v>
      </c>
      <c r="I65" s="26">
        <v>1.8</v>
      </c>
      <c r="J65" s="24">
        <v>17</v>
      </c>
      <c r="K65" s="24">
        <v>4</v>
      </c>
      <c r="L65" s="24">
        <v>142</v>
      </c>
      <c r="M65" s="26">
        <f>L65/D65</f>
        <v>3.641025641025641</v>
      </c>
      <c r="N65" s="12"/>
    </row>
    <row r="66" spans="2:14" ht="15" customHeight="1">
      <c r="B66" s="27" t="s">
        <v>15</v>
      </c>
      <c r="C66" s="18" t="s">
        <v>50</v>
      </c>
      <c r="D66" s="24">
        <v>297</v>
      </c>
      <c r="E66" s="25">
        <v>0.39900000000000002</v>
      </c>
      <c r="F66" s="25">
        <v>0.82099999999999995</v>
      </c>
      <c r="G66" s="24">
        <v>244</v>
      </c>
      <c r="H66" s="26">
        <v>2.5</v>
      </c>
      <c r="I66" s="26">
        <v>3.7</v>
      </c>
      <c r="J66" s="24">
        <v>286</v>
      </c>
      <c r="K66" s="24">
        <v>30</v>
      </c>
      <c r="L66" s="24">
        <v>2605</v>
      </c>
      <c r="M66" s="26">
        <f>L66/D66</f>
        <v>8.7710437710437716</v>
      </c>
      <c r="N66" s="12"/>
    </row>
    <row r="67" spans="2:14" ht="15" customHeight="1">
      <c r="B67" s="9"/>
      <c r="D67" s="10"/>
      <c r="E67" s="11"/>
      <c r="F67" s="11"/>
      <c r="G67" s="10"/>
      <c r="H67" s="12"/>
      <c r="I67" s="12"/>
      <c r="J67" s="10"/>
      <c r="K67" s="10"/>
      <c r="L67" s="10"/>
      <c r="M67" s="12"/>
      <c r="N67" s="12"/>
    </row>
    <row r="68" spans="2:14" ht="15" customHeight="1">
      <c r="B68" s="30" t="s">
        <v>150</v>
      </c>
      <c r="N68" s="8"/>
    </row>
    <row r="69" spans="2:14" ht="15" customHeight="1">
      <c r="B69" s="19" t="s">
        <v>2</v>
      </c>
      <c r="C69" s="20" t="s">
        <v>3</v>
      </c>
      <c r="D69" s="21" t="s">
        <v>4</v>
      </c>
      <c r="E69" s="22" t="s">
        <v>5</v>
      </c>
      <c r="F69" s="22" t="s">
        <v>6</v>
      </c>
      <c r="G69" s="21" t="s">
        <v>7</v>
      </c>
      <c r="H69" s="23" t="s">
        <v>8</v>
      </c>
      <c r="I69" s="23" t="s">
        <v>9</v>
      </c>
      <c r="J69" s="21" t="s">
        <v>10</v>
      </c>
      <c r="K69" s="21" t="s">
        <v>11</v>
      </c>
      <c r="L69" s="21" t="s">
        <v>12</v>
      </c>
      <c r="M69" s="23" t="s">
        <v>13</v>
      </c>
      <c r="N69" s="12"/>
    </row>
    <row r="70" spans="2:14" ht="15" customHeight="1">
      <c r="B70" s="24">
        <v>2022</v>
      </c>
      <c r="C70" s="18" t="s">
        <v>44</v>
      </c>
      <c r="D70" s="24">
        <v>33</v>
      </c>
      <c r="E70" s="25">
        <v>0.442</v>
      </c>
      <c r="F70" s="25">
        <v>0.64500000000000002</v>
      </c>
      <c r="G70" s="24">
        <v>0</v>
      </c>
      <c r="H70" s="26">
        <v>6.3</v>
      </c>
      <c r="I70" s="26">
        <v>0.9</v>
      </c>
      <c r="J70" s="24">
        <v>30</v>
      </c>
      <c r="K70" s="24">
        <v>40</v>
      </c>
      <c r="L70" s="24">
        <v>239</v>
      </c>
      <c r="M70" s="26">
        <f>L70/D70</f>
        <v>7.2424242424242422</v>
      </c>
      <c r="N70" s="12"/>
    </row>
    <row r="71" spans="2:14" ht="15" customHeight="1">
      <c r="B71" s="27" t="s">
        <v>15</v>
      </c>
      <c r="C71" s="18" t="s">
        <v>40</v>
      </c>
      <c r="D71" s="24">
        <v>33</v>
      </c>
      <c r="E71" s="25">
        <v>0.442</v>
      </c>
      <c r="F71" s="25">
        <v>0.64500000000000002</v>
      </c>
      <c r="G71" s="24">
        <v>0</v>
      </c>
      <c r="H71" s="26">
        <v>6.3</v>
      </c>
      <c r="I71" s="26">
        <v>0.9</v>
      </c>
      <c r="J71" s="24">
        <v>30</v>
      </c>
      <c r="K71" s="24">
        <v>40</v>
      </c>
      <c r="L71" s="24">
        <v>239</v>
      </c>
      <c r="M71" s="26">
        <f>L71/D71</f>
        <v>7.2424242424242422</v>
      </c>
      <c r="N71" s="17"/>
    </row>
    <row r="72" spans="2:14" ht="15" customHeight="1">
      <c r="B72" s="15"/>
      <c r="C72" s="5"/>
      <c r="D72" s="5"/>
      <c r="E72" s="16"/>
      <c r="F72" s="16"/>
      <c r="G72" s="5"/>
      <c r="H72" s="17"/>
      <c r="I72" s="17"/>
      <c r="J72" s="5"/>
      <c r="K72" s="5"/>
      <c r="L72" s="17"/>
      <c r="M72" s="17"/>
    </row>
    <row r="73" spans="2:14" ht="15" customHeight="1">
      <c r="B73" s="30" t="s">
        <v>151</v>
      </c>
      <c r="N73" s="8"/>
    </row>
    <row r="74" spans="2:14" ht="15" customHeight="1">
      <c r="B74" s="19" t="s">
        <v>2</v>
      </c>
      <c r="C74" s="20" t="s">
        <v>3</v>
      </c>
      <c r="D74" s="21" t="s">
        <v>4</v>
      </c>
      <c r="E74" s="22" t="s">
        <v>5</v>
      </c>
      <c r="F74" s="22" t="s">
        <v>6</v>
      </c>
      <c r="G74" s="21" t="s">
        <v>7</v>
      </c>
      <c r="H74" s="23" t="s">
        <v>8</v>
      </c>
      <c r="I74" s="23" t="s">
        <v>9</v>
      </c>
      <c r="J74" s="21" t="s">
        <v>10</v>
      </c>
      <c r="K74" s="21" t="s">
        <v>11</v>
      </c>
      <c r="L74" s="21" t="s">
        <v>12</v>
      </c>
      <c r="M74" s="23" t="s">
        <v>13</v>
      </c>
      <c r="N74" s="12"/>
    </row>
    <row r="75" spans="2:14" ht="15" customHeight="1">
      <c r="B75" s="24">
        <v>2024</v>
      </c>
      <c r="C75" s="18" t="s">
        <v>44</v>
      </c>
      <c r="D75" s="24">
        <v>34</v>
      </c>
      <c r="E75" s="25">
        <v>0.441</v>
      </c>
      <c r="F75" s="25">
        <v>0.80500000000000005</v>
      </c>
      <c r="G75" s="24">
        <v>33</v>
      </c>
      <c r="H75" s="26">
        <v>2.5</v>
      </c>
      <c r="I75" s="26">
        <v>1.1000000000000001</v>
      </c>
      <c r="J75" s="24">
        <v>22</v>
      </c>
      <c r="K75" s="24">
        <v>11</v>
      </c>
      <c r="L75" s="24">
        <v>186</v>
      </c>
      <c r="M75" s="26">
        <f>L75/D75</f>
        <v>5.4705882352941178</v>
      </c>
      <c r="N75" s="12"/>
    </row>
    <row r="76" spans="2:14" ht="15" customHeight="1">
      <c r="B76" s="27" t="s">
        <v>15</v>
      </c>
      <c r="C76" s="18" t="s">
        <v>23</v>
      </c>
      <c r="D76" s="24">
        <v>90</v>
      </c>
      <c r="E76" s="25">
        <v>0.36799999999999999</v>
      </c>
      <c r="F76" s="25">
        <v>0.83499999999999996</v>
      </c>
      <c r="G76" s="24">
        <v>54</v>
      </c>
      <c r="H76" s="26">
        <v>2.2999999999999998</v>
      </c>
      <c r="I76" s="26">
        <v>1</v>
      </c>
      <c r="J76" s="24">
        <v>67</v>
      </c>
      <c r="K76" s="24">
        <v>22</v>
      </c>
      <c r="L76" s="24">
        <v>424</v>
      </c>
      <c r="M76" s="26">
        <f>L76/D76</f>
        <v>4.7111111111111112</v>
      </c>
      <c r="N76" s="17"/>
    </row>
    <row r="77" spans="2:14" ht="15" customHeight="1">
      <c r="B77" s="15"/>
      <c r="C77" s="5"/>
      <c r="D77" s="5"/>
      <c r="E77" s="16"/>
      <c r="F77" s="16"/>
      <c r="G77" s="5"/>
      <c r="H77" s="17"/>
      <c r="I77" s="17"/>
      <c r="J77" s="5"/>
      <c r="K77" s="5"/>
      <c r="L77" s="17"/>
      <c r="M77" s="17"/>
    </row>
    <row r="78" spans="2:14" ht="15" customHeight="1">
      <c r="B78" s="30" t="s">
        <v>152</v>
      </c>
      <c r="N78" s="8"/>
    </row>
    <row r="79" spans="2:14" ht="15" customHeight="1">
      <c r="B79" s="19" t="s">
        <v>2</v>
      </c>
      <c r="C79" s="20" t="s">
        <v>3</v>
      </c>
      <c r="D79" s="21" t="s">
        <v>4</v>
      </c>
      <c r="E79" s="22" t="s">
        <v>5</v>
      </c>
      <c r="F79" s="22" t="s">
        <v>6</v>
      </c>
      <c r="G79" s="21" t="s">
        <v>7</v>
      </c>
      <c r="H79" s="23" t="s">
        <v>8</v>
      </c>
      <c r="I79" s="23" t="s">
        <v>9</v>
      </c>
      <c r="J79" s="21" t="s">
        <v>10</v>
      </c>
      <c r="K79" s="21" t="s">
        <v>11</v>
      </c>
      <c r="L79" s="21" t="s">
        <v>12</v>
      </c>
      <c r="M79" s="23" t="s">
        <v>13</v>
      </c>
      <c r="N79" s="12"/>
    </row>
    <row r="80" spans="2:14" ht="15" customHeight="1">
      <c r="B80" s="24">
        <v>2024</v>
      </c>
      <c r="C80" s="18" t="s">
        <v>44</v>
      </c>
      <c r="D80" s="24">
        <v>40</v>
      </c>
      <c r="E80" s="25">
        <v>0.48</v>
      </c>
      <c r="F80" s="25">
        <v>0.56699999999999995</v>
      </c>
      <c r="G80" s="24">
        <v>14</v>
      </c>
      <c r="H80" s="26">
        <v>7.1</v>
      </c>
      <c r="I80" s="26">
        <v>1</v>
      </c>
      <c r="J80" s="24">
        <v>30</v>
      </c>
      <c r="K80" s="24">
        <v>39</v>
      </c>
      <c r="L80" s="24">
        <v>422</v>
      </c>
      <c r="M80" s="26">
        <f>L80/D80</f>
        <v>10.55</v>
      </c>
      <c r="N80" s="12"/>
    </row>
    <row r="81" spans="2:14" ht="15" customHeight="1">
      <c r="B81" s="27" t="s">
        <v>15</v>
      </c>
      <c r="C81" s="18" t="s">
        <v>23</v>
      </c>
      <c r="D81" s="24">
        <v>103</v>
      </c>
      <c r="E81" s="25">
        <v>0.45800000000000002</v>
      </c>
      <c r="F81" s="25">
        <v>0.56699999999999995</v>
      </c>
      <c r="G81" s="24">
        <v>70</v>
      </c>
      <c r="H81" s="26">
        <v>8</v>
      </c>
      <c r="I81" s="26">
        <v>1.3</v>
      </c>
      <c r="J81" s="24">
        <v>55</v>
      </c>
      <c r="K81" s="24">
        <v>57</v>
      </c>
      <c r="L81" s="24">
        <v>1334</v>
      </c>
      <c r="M81" s="26">
        <f>L81/D81</f>
        <v>12.951456310679612</v>
      </c>
      <c r="N81" s="17"/>
    </row>
    <row r="82" spans="2:14" ht="15" customHeight="1">
      <c r="B82" s="15"/>
      <c r="C82" s="5"/>
      <c r="D82" s="5"/>
      <c r="E82" s="16"/>
      <c r="F82" s="16"/>
      <c r="G82" s="5"/>
      <c r="H82" s="17"/>
      <c r="I82" s="17"/>
      <c r="J82" s="5"/>
      <c r="K82" s="5"/>
      <c r="L82" s="17"/>
      <c r="M82" s="17"/>
    </row>
    <row r="83" spans="2:14" ht="15" customHeight="1">
      <c r="B83" s="30" t="s">
        <v>153</v>
      </c>
      <c r="N83" s="8"/>
    </row>
    <row r="84" spans="2:14" ht="15" customHeight="1">
      <c r="B84" s="19" t="s">
        <v>2</v>
      </c>
      <c r="C84" s="20" t="s">
        <v>3</v>
      </c>
      <c r="D84" s="21" t="s">
        <v>4</v>
      </c>
      <c r="E84" s="22" t="s">
        <v>5</v>
      </c>
      <c r="F84" s="22" t="s">
        <v>6</v>
      </c>
      <c r="G84" s="21" t="s">
        <v>7</v>
      </c>
      <c r="H84" s="23" t="s">
        <v>8</v>
      </c>
      <c r="I84" s="23" t="s">
        <v>9</v>
      </c>
      <c r="J84" s="21" t="s">
        <v>10</v>
      </c>
      <c r="K84" s="21" t="s">
        <v>11</v>
      </c>
      <c r="L84" s="21" t="s">
        <v>12</v>
      </c>
      <c r="M84" s="23" t="s">
        <v>13</v>
      </c>
      <c r="N84" s="12"/>
    </row>
    <row r="85" spans="2:14" ht="15" customHeight="1">
      <c r="B85" s="24">
        <v>2022</v>
      </c>
      <c r="C85" s="18" t="s">
        <v>44</v>
      </c>
      <c r="D85" s="24">
        <v>36</v>
      </c>
      <c r="E85" s="25">
        <v>0.40100000000000002</v>
      </c>
      <c r="F85" s="25">
        <v>0.71899999999999997</v>
      </c>
      <c r="G85" s="24">
        <v>26</v>
      </c>
      <c r="H85" s="26">
        <v>1.6</v>
      </c>
      <c r="I85" s="26">
        <v>2.5</v>
      </c>
      <c r="J85" s="24">
        <v>27</v>
      </c>
      <c r="K85" s="24">
        <v>3</v>
      </c>
      <c r="L85" s="24">
        <v>191</v>
      </c>
      <c r="M85" s="26">
        <f>L85/D85</f>
        <v>5.3055555555555554</v>
      </c>
      <c r="N85" s="12"/>
    </row>
    <row r="86" spans="2:14" ht="15" customHeight="1">
      <c r="B86" s="27" t="s">
        <v>15</v>
      </c>
      <c r="C86" s="18" t="s">
        <v>40</v>
      </c>
      <c r="D86" s="24">
        <v>36</v>
      </c>
      <c r="E86" s="25">
        <v>0.40100000000000002</v>
      </c>
      <c r="F86" s="25">
        <v>0.71899999999999997</v>
      </c>
      <c r="G86" s="24">
        <v>26</v>
      </c>
      <c r="H86" s="26">
        <v>1.6</v>
      </c>
      <c r="I86" s="26">
        <v>2.5</v>
      </c>
      <c r="J86" s="24">
        <v>27</v>
      </c>
      <c r="K86" s="24">
        <v>3</v>
      </c>
      <c r="L86" s="24">
        <v>191</v>
      </c>
      <c r="M86" s="26">
        <f>L86/D86</f>
        <v>5.3055555555555554</v>
      </c>
      <c r="N86" s="17"/>
    </row>
    <row r="87" spans="2:14" ht="15" customHeight="1">
      <c r="B87" s="15"/>
      <c r="C87" s="5"/>
      <c r="D87" s="5"/>
      <c r="E87" s="16"/>
      <c r="F87" s="16"/>
      <c r="G87" s="5"/>
      <c r="H87" s="17"/>
      <c r="I87" s="17"/>
      <c r="J87" s="5"/>
      <c r="K87" s="5"/>
      <c r="L87" s="17"/>
      <c r="M87" s="17"/>
    </row>
    <row r="88" spans="2:14" ht="15" customHeight="1">
      <c r="B88" s="30" t="s">
        <v>154</v>
      </c>
      <c r="N88" s="8"/>
    </row>
    <row r="89" spans="2:14" ht="15" customHeight="1">
      <c r="B89" s="19" t="s">
        <v>2</v>
      </c>
      <c r="C89" s="20" t="s">
        <v>3</v>
      </c>
      <c r="D89" s="21" t="s">
        <v>4</v>
      </c>
      <c r="E89" s="22" t="s">
        <v>5</v>
      </c>
      <c r="F89" s="22" t="s">
        <v>6</v>
      </c>
      <c r="G89" s="21" t="s">
        <v>7</v>
      </c>
      <c r="H89" s="23" t="s">
        <v>8</v>
      </c>
      <c r="I89" s="23" t="s">
        <v>9</v>
      </c>
      <c r="J89" s="21" t="s">
        <v>10</v>
      </c>
      <c r="K89" s="21" t="s">
        <v>11</v>
      </c>
      <c r="L89" s="21" t="s">
        <v>12</v>
      </c>
      <c r="M89" s="23" t="s">
        <v>13</v>
      </c>
      <c r="N89" s="12"/>
    </row>
    <row r="90" spans="2:14" ht="15" customHeight="1">
      <c r="B90" s="24">
        <v>2024</v>
      </c>
      <c r="C90" s="18" t="s">
        <v>44</v>
      </c>
      <c r="D90" s="24">
        <v>11</v>
      </c>
      <c r="E90" s="25">
        <v>0.4</v>
      </c>
      <c r="F90" s="25">
        <v>0.64300000000000002</v>
      </c>
      <c r="G90" s="24">
        <v>2</v>
      </c>
      <c r="H90" s="26">
        <v>1.4</v>
      </c>
      <c r="I90" s="26">
        <v>0.6</v>
      </c>
      <c r="J90" s="24">
        <v>5</v>
      </c>
      <c r="K90" s="24">
        <v>0</v>
      </c>
      <c r="L90" s="24">
        <v>31</v>
      </c>
      <c r="M90" s="26">
        <f>L90/D90</f>
        <v>2.8181818181818183</v>
      </c>
      <c r="N90" s="12"/>
    </row>
    <row r="91" spans="2:14" ht="15" customHeight="1">
      <c r="B91" s="27" t="s">
        <v>15</v>
      </c>
      <c r="C91" s="18" t="s">
        <v>38</v>
      </c>
      <c r="D91" s="24">
        <v>47</v>
      </c>
      <c r="E91" s="25">
        <v>0.4</v>
      </c>
      <c r="F91" s="25">
        <v>0.749</v>
      </c>
      <c r="G91" s="24">
        <v>18</v>
      </c>
      <c r="H91" s="26">
        <v>1.5</v>
      </c>
      <c r="I91" s="26">
        <v>1.6</v>
      </c>
      <c r="J91" s="24">
        <v>22</v>
      </c>
      <c r="K91" s="24">
        <v>6</v>
      </c>
      <c r="L91" s="24">
        <v>182</v>
      </c>
      <c r="M91" s="26">
        <f>L91/D91</f>
        <v>3.8723404255319149</v>
      </c>
      <c r="N91" s="17"/>
    </row>
    <row r="92" spans="2:14" ht="15" customHeight="1">
      <c r="B92" s="15"/>
      <c r="C92" s="5"/>
      <c r="D92" s="5"/>
      <c r="E92" s="16"/>
      <c r="F92" s="16"/>
      <c r="G92" s="5"/>
      <c r="H92" s="17"/>
      <c r="I92" s="17"/>
      <c r="J92" s="5"/>
      <c r="K92" s="5"/>
      <c r="L92" s="17"/>
      <c r="M92" s="17"/>
    </row>
    <row r="93" spans="2:14" ht="15" customHeight="1">
      <c r="B93" s="30" t="s">
        <v>155</v>
      </c>
      <c r="N93" s="8"/>
    </row>
    <row r="94" spans="2:14" ht="15" customHeight="1">
      <c r="B94" s="19" t="s">
        <v>2</v>
      </c>
      <c r="C94" s="20" t="s">
        <v>3</v>
      </c>
      <c r="D94" s="21" t="s">
        <v>4</v>
      </c>
      <c r="E94" s="22" t="s">
        <v>5</v>
      </c>
      <c r="F94" s="22" t="s">
        <v>6</v>
      </c>
      <c r="G94" s="21" t="s">
        <v>7</v>
      </c>
      <c r="H94" s="23" t="s">
        <v>8</v>
      </c>
      <c r="I94" s="23" t="s">
        <v>9</v>
      </c>
      <c r="J94" s="21" t="s">
        <v>10</v>
      </c>
      <c r="K94" s="21" t="s">
        <v>11</v>
      </c>
      <c r="L94" s="21" t="s">
        <v>12</v>
      </c>
      <c r="M94" s="23" t="s">
        <v>13</v>
      </c>
      <c r="N94" s="12"/>
    </row>
    <row r="95" spans="2:14" ht="15" customHeight="1">
      <c r="B95" s="24">
        <v>2024</v>
      </c>
      <c r="C95" s="18" t="s">
        <v>44</v>
      </c>
      <c r="D95" s="24">
        <v>40</v>
      </c>
      <c r="E95" s="25">
        <v>0.52900000000000003</v>
      </c>
      <c r="F95" s="25">
        <v>0.73599999999999999</v>
      </c>
      <c r="G95" s="24">
        <v>7</v>
      </c>
      <c r="H95" s="26">
        <v>8.9</v>
      </c>
      <c r="I95" s="26">
        <v>3.2</v>
      </c>
      <c r="J95" s="24">
        <v>35</v>
      </c>
      <c r="K95" s="24">
        <v>49</v>
      </c>
      <c r="L95" s="24">
        <v>560</v>
      </c>
      <c r="M95" s="26">
        <f>L95/D95</f>
        <v>14</v>
      </c>
      <c r="N95" s="12"/>
    </row>
    <row r="96" spans="2:14" ht="15" customHeight="1">
      <c r="B96" s="27" t="s">
        <v>15</v>
      </c>
      <c r="C96" s="18" t="s">
        <v>38</v>
      </c>
      <c r="D96" s="24">
        <v>80</v>
      </c>
      <c r="E96" s="25">
        <v>0.55200000000000005</v>
      </c>
      <c r="F96" s="25">
        <v>0.74099999999999999</v>
      </c>
      <c r="G96" s="24">
        <v>11</v>
      </c>
      <c r="H96" s="26">
        <v>8.6</v>
      </c>
      <c r="I96" s="26">
        <v>2.7</v>
      </c>
      <c r="J96" s="24">
        <v>88</v>
      </c>
      <c r="K96" s="24">
        <v>99</v>
      </c>
      <c r="L96" s="24">
        <v>1138</v>
      </c>
      <c r="M96" s="26">
        <f>L96/D96</f>
        <v>14.225</v>
      </c>
      <c r="N96" s="17"/>
    </row>
    <row r="97" spans="2:14" ht="15" customHeight="1">
      <c r="B97" s="15"/>
      <c r="C97" s="5"/>
      <c r="D97" s="5"/>
      <c r="E97" s="16"/>
      <c r="F97" s="16"/>
      <c r="G97" s="5"/>
      <c r="H97" s="17"/>
      <c r="I97" s="17"/>
      <c r="J97" s="5"/>
      <c r="K97" s="5"/>
      <c r="L97" s="17"/>
      <c r="M97" s="17"/>
    </row>
    <row r="98" spans="2:14" ht="15" customHeight="1">
      <c r="B98" s="30" t="s">
        <v>156</v>
      </c>
      <c r="N98" s="8"/>
    </row>
    <row r="99" spans="2:14" ht="15" customHeight="1">
      <c r="B99" s="19" t="s">
        <v>2</v>
      </c>
      <c r="C99" s="20" t="s">
        <v>3</v>
      </c>
      <c r="D99" s="21" t="s">
        <v>4</v>
      </c>
      <c r="E99" s="22" t="s">
        <v>5</v>
      </c>
      <c r="F99" s="22" t="s">
        <v>6</v>
      </c>
      <c r="G99" s="21" t="s">
        <v>7</v>
      </c>
      <c r="H99" s="23" t="s">
        <v>8</v>
      </c>
      <c r="I99" s="23" t="s">
        <v>9</v>
      </c>
      <c r="J99" s="21" t="s">
        <v>10</v>
      </c>
      <c r="K99" s="21" t="s">
        <v>11</v>
      </c>
      <c r="L99" s="21" t="s">
        <v>12</v>
      </c>
      <c r="M99" s="23" t="s">
        <v>13</v>
      </c>
      <c r="N99" s="12"/>
    </row>
    <row r="100" spans="2:14" ht="15" customHeight="1">
      <c r="B100" s="24">
        <v>2024</v>
      </c>
      <c r="C100" s="18" t="s">
        <v>44</v>
      </c>
      <c r="D100" s="24">
        <v>40</v>
      </c>
      <c r="E100" s="25">
        <v>0.41699999999999998</v>
      </c>
      <c r="F100" s="25">
        <v>0.90600000000000003</v>
      </c>
      <c r="G100" s="24">
        <v>122</v>
      </c>
      <c r="H100" s="26">
        <v>5.7</v>
      </c>
      <c r="I100" s="26">
        <v>8.4</v>
      </c>
      <c r="J100" s="24">
        <v>53</v>
      </c>
      <c r="K100" s="24">
        <v>27</v>
      </c>
      <c r="L100" s="24">
        <v>769</v>
      </c>
      <c r="M100" s="26">
        <f>L100/D100</f>
        <v>19.225000000000001</v>
      </c>
      <c r="N100" s="12"/>
    </row>
    <row r="101" spans="2:14" ht="15" customHeight="1">
      <c r="B101" s="27" t="s">
        <v>15</v>
      </c>
      <c r="C101" s="18" t="s">
        <v>40</v>
      </c>
      <c r="D101" s="24">
        <v>40</v>
      </c>
      <c r="E101" s="25">
        <v>0.41699999999999998</v>
      </c>
      <c r="F101" s="25">
        <v>0.90600000000000003</v>
      </c>
      <c r="G101" s="24">
        <v>122</v>
      </c>
      <c r="H101" s="26">
        <v>5.7</v>
      </c>
      <c r="I101" s="26">
        <v>8.4</v>
      </c>
      <c r="J101" s="24">
        <v>53</v>
      </c>
      <c r="K101" s="24">
        <v>27</v>
      </c>
      <c r="L101" s="24">
        <v>769</v>
      </c>
      <c r="M101" s="26">
        <f>L101/D101</f>
        <v>19.225000000000001</v>
      </c>
      <c r="N101" s="17"/>
    </row>
    <row r="102" spans="2:14" ht="15" customHeight="1">
      <c r="B102" s="15"/>
      <c r="C102" s="5"/>
      <c r="D102" s="5"/>
      <c r="E102" s="16"/>
      <c r="F102" s="16"/>
      <c r="G102" s="5"/>
      <c r="H102" s="17"/>
      <c r="I102" s="17"/>
      <c r="J102" s="5"/>
      <c r="K102" s="5"/>
      <c r="L102" s="17"/>
      <c r="M102" s="17"/>
    </row>
    <row r="103" spans="2:14" ht="15" customHeight="1">
      <c r="B103" s="30" t="s">
        <v>157</v>
      </c>
    </row>
    <row r="104" spans="2:14" ht="15" customHeight="1">
      <c r="B104" s="19" t="s">
        <v>2</v>
      </c>
      <c r="C104" s="20" t="s">
        <v>3</v>
      </c>
      <c r="D104" s="21" t="s">
        <v>4</v>
      </c>
      <c r="E104" s="22" t="s">
        <v>5</v>
      </c>
      <c r="F104" s="22" t="s">
        <v>6</v>
      </c>
      <c r="G104" s="21" t="s">
        <v>7</v>
      </c>
      <c r="H104" s="23" t="s">
        <v>8</v>
      </c>
      <c r="I104" s="23" t="s">
        <v>9</v>
      </c>
      <c r="J104" s="21" t="s">
        <v>10</v>
      </c>
      <c r="K104" s="21" t="s">
        <v>11</v>
      </c>
      <c r="L104" s="21" t="s">
        <v>12</v>
      </c>
      <c r="M104" s="23" t="s">
        <v>13</v>
      </c>
    </row>
    <row r="105" spans="2:14" ht="15" customHeight="1">
      <c r="B105" s="24">
        <v>2024</v>
      </c>
      <c r="C105" s="18" t="s">
        <v>44</v>
      </c>
      <c r="D105" s="24">
        <v>37</v>
      </c>
      <c r="E105" s="25">
        <v>0.34899999999999998</v>
      </c>
      <c r="F105" s="25">
        <v>0.96</v>
      </c>
      <c r="G105" s="24">
        <v>33</v>
      </c>
      <c r="H105" s="26">
        <v>2.2999999999999998</v>
      </c>
      <c r="I105" s="26">
        <v>1.4</v>
      </c>
      <c r="J105" s="24">
        <v>12</v>
      </c>
      <c r="K105" s="24">
        <v>9</v>
      </c>
      <c r="L105" s="24">
        <v>159</v>
      </c>
      <c r="M105" s="26">
        <f>L105/D105</f>
        <v>4.2972972972972974</v>
      </c>
    </row>
    <row r="106" spans="2:14" ht="15" customHeight="1">
      <c r="B106" s="27" t="s">
        <v>15</v>
      </c>
      <c r="C106" s="18" t="s">
        <v>33</v>
      </c>
      <c r="D106" s="24">
        <v>138</v>
      </c>
      <c r="E106" s="25">
        <v>0.38900000000000001</v>
      </c>
      <c r="F106" s="25">
        <v>0.82199999999999995</v>
      </c>
      <c r="G106" s="24">
        <v>142</v>
      </c>
      <c r="H106" s="26">
        <v>2.5</v>
      </c>
      <c r="I106" s="26">
        <v>1.4</v>
      </c>
      <c r="J106" s="24">
        <v>84</v>
      </c>
      <c r="K106" s="24">
        <v>34</v>
      </c>
      <c r="L106" s="24">
        <v>817</v>
      </c>
      <c r="M106" s="26">
        <f>L106/D106</f>
        <v>5.9202898550724639</v>
      </c>
    </row>
    <row r="108" spans="2:14" ht="15" customHeight="1">
      <c r="B108" s="30" t="s">
        <v>158</v>
      </c>
    </row>
    <row r="109" spans="2:14" ht="15" customHeight="1">
      <c r="B109" s="19" t="s">
        <v>2</v>
      </c>
      <c r="C109" s="20" t="s">
        <v>3</v>
      </c>
      <c r="D109" s="21" t="s">
        <v>4</v>
      </c>
      <c r="E109" s="22" t="s">
        <v>5</v>
      </c>
      <c r="F109" s="22" t="s">
        <v>6</v>
      </c>
      <c r="G109" s="21" t="s">
        <v>7</v>
      </c>
      <c r="H109" s="23" t="s">
        <v>8</v>
      </c>
      <c r="I109" s="23" t="s">
        <v>9</v>
      </c>
      <c r="J109" s="21" t="s">
        <v>10</v>
      </c>
      <c r="K109" s="21" t="s">
        <v>11</v>
      </c>
      <c r="L109" s="21" t="s">
        <v>12</v>
      </c>
      <c r="M109" s="23" t="s">
        <v>13</v>
      </c>
      <c r="N109" s="8"/>
    </row>
    <row r="110" spans="2:14" ht="15" customHeight="1">
      <c r="B110" s="24">
        <v>2024</v>
      </c>
      <c r="C110" s="18" t="s">
        <v>58</v>
      </c>
      <c r="D110" s="24">
        <v>27</v>
      </c>
      <c r="E110" s="25">
        <v>0.61499999999999999</v>
      </c>
      <c r="F110" s="25">
        <v>0.5</v>
      </c>
      <c r="G110" s="24">
        <v>0</v>
      </c>
      <c r="H110" s="26">
        <v>2</v>
      </c>
      <c r="I110" s="26">
        <v>0.4</v>
      </c>
      <c r="J110" s="24">
        <v>9</v>
      </c>
      <c r="K110" s="24">
        <v>13</v>
      </c>
      <c r="L110" s="24">
        <v>33</v>
      </c>
      <c r="M110" s="26">
        <f>L110/D110</f>
        <v>1.2222222222222223</v>
      </c>
      <c r="N110" s="12"/>
    </row>
    <row r="111" spans="2:14" ht="15" customHeight="1">
      <c r="B111" s="27" t="s">
        <v>15</v>
      </c>
      <c r="C111" s="18" t="s">
        <v>71</v>
      </c>
      <c r="D111" s="24">
        <v>185</v>
      </c>
      <c r="E111" s="25">
        <v>0.58299999999999996</v>
      </c>
      <c r="F111" s="25">
        <v>0.63900000000000001</v>
      </c>
      <c r="G111" s="24">
        <v>0</v>
      </c>
      <c r="H111" s="26">
        <v>6.3</v>
      </c>
      <c r="I111" s="26">
        <v>1.4</v>
      </c>
      <c r="J111" s="24">
        <v>147</v>
      </c>
      <c r="K111" s="24">
        <v>219</v>
      </c>
      <c r="L111" s="24">
        <v>849</v>
      </c>
      <c r="M111" s="26">
        <f>L111/D111</f>
        <v>4.5891891891891889</v>
      </c>
      <c r="N111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102"/>
  <sheetViews>
    <sheetView zoomScale="120" zoomScaleNormal="120" workbookViewId="0">
      <selection activeCell="B73" sqref="B73"/>
    </sheetView>
  </sheetViews>
  <sheetFormatPr defaultColWidth="45" defaultRowHeight="15" customHeight="1"/>
  <cols>
    <col min="1" max="1" width="2.7109375" style="1" customWidth="1"/>
    <col min="2" max="2" width="17.7109375" style="13" bestFit="1" customWidth="1"/>
    <col min="3" max="3" width="19.140625" style="1" bestFit="1" customWidth="1"/>
    <col min="4" max="4" width="4.28515625" style="1" customWidth="1"/>
    <col min="5" max="5" width="7.42578125" style="2" bestFit="1" customWidth="1"/>
    <col min="6" max="6" width="6.5703125" style="2" bestFit="1" customWidth="1"/>
    <col min="7" max="7" width="4.42578125" style="1" bestFit="1" customWidth="1"/>
    <col min="8" max="8" width="4.140625" style="3" bestFit="1" customWidth="1"/>
    <col min="9" max="9" width="4.28515625" style="3" bestFit="1" customWidth="1"/>
    <col min="10" max="10" width="5.140625" style="1" customWidth="1"/>
    <col min="11" max="11" width="4.42578125" style="1" bestFit="1" customWidth="1"/>
    <col min="12" max="12" width="5.28515625" style="1" bestFit="1" customWidth="1"/>
    <col min="13" max="13" width="4.42578125" style="3" bestFit="1" customWidth="1"/>
    <col min="14" max="14" width="4.42578125" style="3" customWidth="1"/>
    <col min="15" max="16384" width="45" style="1"/>
  </cols>
  <sheetData>
    <row r="1" spans="2:14" ht="15" customHeight="1">
      <c r="B1" s="33" t="s">
        <v>159</v>
      </c>
    </row>
    <row r="3" spans="2:14" ht="15" customHeight="1">
      <c r="B3" s="30" t="s">
        <v>160</v>
      </c>
    </row>
    <row r="4" spans="2:14" ht="15" customHeight="1">
      <c r="B4" s="19" t="s">
        <v>2</v>
      </c>
      <c r="C4" s="20" t="s">
        <v>3</v>
      </c>
      <c r="D4" s="21" t="s">
        <v>4</v>
      </c>
      <c r="E4" s="22" t="s">
        <v>5</v>
      </c>
      <c r="F4" s="22" t="s">
        <v>6</v>
      </c>
      <c r="G4" s="21" t="s">
        <v>7</v>
      </c>
      <c r="H4" s="23" t="s">
        <v>8</v>
      </c>
      <c r="I4" s="23" t="s">
        <v>9</v>
      </c>
      <c r="J4" s="21" t="s">
        <v>10</v>
      </c>
      <c r="K4" s="21" t="s">
        <v>11</v>
      </c>
      <c r="L4" s="21" t="s">
        <v>12</v>
      </c>
      <c r="M4" s="23" t="s">
        <v>13</v>
      </c>
      <c r="N4" s="8"/>
    </row>
    <row r="5" spans="2:14" ht="15" customHeight="1">
      <c r="B5" s="24">
        <v>2024</v>
      </c>
      <c r="C5" s="18" t="s">
        <v>130</v>
      </c>
      <c r="D5" s="24">
        <v>38</v>
      </c>
      <c r="E5" s="25">
        <v>0.51800000000000002</v>
      </c>
      <c r="F5" s="25">
        <v>0.84399999999999997</v>
      </c>
      <c r="G5" s="24">
        <v>19</v>
      </c>
      <c r="H5" s="26">
        <v>11.9</v>
      </c>
      <c r="I5" s="26">
        <v>2.2999999999999998</v>
      </c>
      <c r="J5" s="24">
        <v>68</v>
      </c>
      <c r="K5" s="24">
        <v>98</v>
      </c>
      <c r="L5" s="24">
        <v>1021</v>
      </c>
      <c r="M5" s="26">
        <f>L5/D5</f>
        <v>26.868421052631579</v>
      </c>
      <c r="N5" s="12"/>
    </row>
    <row r="6" spans="2:14" ht="15" customHeight="1">
      <c r="B6" s="27" t="s">
        <v>15</v>
      </c>
      <c r="C6" s="18" t="s">
        <v>18</v>
      </c>
      <c r="D6" s="24">
        <v>227</v>
      </c>
      <c r="E6" s="25">
        <v>0.497</v>
      </c>
      <c r="F6" s="25">
        <v>0.81499999999999995</v>
      </c>
      <c r="G6" s="24">
        <v>60</v>
      </c>
      <c r="H6" s="26">
        <v>9.1999999999999993</v>
      </c>
      <c r="I6" s="26">
        <v>2.2000000000000002</v>
      </c>
      <c r="J6" s="24">
        <v>273</v>
      </c>
      <c r="K6" s="24">
        <v>441</v>
      </c>
      <c r="L6" s="24">
        <v>4782</v>
      </c>
      <c r="M6" s="26">
        <f>L6/D6</f>
        <v>21.066079295154186</v>
      </c>
      <c r="N6" s="12"/>
    </row>
    <row r="7" spans="2:14" ht="15" customHeight="1">
      <c r="D7" s="14"/>
    </row>
    <row r="8" spans="2:14" ht="15" customHeight="1">
      <c r="B8" s="30" t="s">
        <v>161</v>
      </c>
    </row>
    <row r="9" spans="2:14" ht="15" customHeight="1">
      <c r="B9" s="19" t="s">
        <v>2</v>
      </c>
      <c r="C9" s="20" t="s">
        <v>3</v>
      </c>
      <c r="D9" s="21" t="s">
        <v>4</v>
      </c>
      <c r="E9" s="22" t="s">
        <v>5</v>
      </c>
      <c r="F9" s="22" t="s">
        <v>6</v>
      </c>
      <c r="G9" s="21" t="s">
        <v>7</v>
      </c>
      <c r="H9" s="23" t="s">
        <v>8</v>
      </c>
      <c r="I9" s="23" t="s">
        <v>9</v>
      </c>
      <c r="J9" s="21" t="s">
        <v>10</v>
      </c>
      <c r="K9" s="21" t="s">
        <v>11</v>
      </c>
      <c r="L9" s="21" t="s">
        <v>12</v>
      </c>
      <c r="M9" s="23" t="s">
        <v>13</v>
      </c>
      <c r="N9" s="8"/>
    </row>
    <row r="10" spans="2:14" ht="15" customHeight="1">
      <c r="B10" s="24">
        <v>2019</v>
      </c>
      <c r="C10" s="18" t="s">
        <v>130</v>
      </c>
      <c r="D10" s="24">
        <v>34</v>
      </c>
      <c r="E10" s="25">
        <v>0.38</v>
      </c>
      <c r="F10" s="25">
        <v>0.63900000000000001</v>
      </c>
      <c r="G10" s="24">
        <v>5</v>
      </c>
      <c r="H10" s="26">
        <v>3.6</v>
      </c>
      <c r="I10" s="26">
        <v>2</v>
      </c>
      <c r="J10" s="24">
        <v>23</v>
      </c>
      <c r="K10" s="24">
        <v>4</v>
      </c>
      <c r="L10" s="24">
        <v>180</v>
      </c>
      <c r="M10" s="26">
        <f>L10/D10</f>
        <v>5.2941176470588234</v>
      </c>
      <c r="N10" s="12"/>
    </row>
    <row r="11" spans="2:14" ht="15" customHeight="1">
      <c r="B11" s="27" t="s">
        <v>15</v>
      </c>
      <c r="C11" s="18" t="s">
        <v>162</v>
      </c>
      <c r="D11" s="24">
        <v>372</v>
      </c>
      <c r="E11" s="25">
        <v>0.39800000000000002</v>
      </c>
      <c r="F11" s="25">
        <v>0.68600000000000005</v>
      </c>
      <c r="G11" s="24">
        <v>64</v>
      </c>
      <c r="H11" s="26">
        <v>3.9</v>
      </c>
      <c r="I11" s="26">
        <v>1.5</v>
      </c>
      <c r="J11" s="24">
        <v>305</v>
      </c>
      <c r="K11" s="24">
        <v>83</v>
      </c>
      <c r="L11" s="24">
        <v>2641</v>
      </c>
      <c r="M11" s="26">
        <f>L11/D11</f>
        <v>7.099462365591398</v>
      </c>
      <c r="N11" s="12"/>
    </row>
    <row r="13" spans="2:14" ht="15" customHeight="1">
      <c r="B13" s="30" t="s">
        <v>163</v>
      </c>
    </row>
    <row r="14" spans="2:14" ht="15" customHeight="1">
      <c r="B14" s="19" t="s">
        <v>2</v>
      </c>
      <c r="C14" s="20" t="s">
        <v>3</v>
      </c>
      <c r="D14" s="21" t="s">
        <v>4</v>
      </c>
      <c r="E14" s="22" t="s">
        <v>5</v>
      </c>
      <c r="F14" s="22" t="s">
        <v>6</v>
      </c>
      <c r="G14" s="21" t="s">
        <v>7</v>
      </c>
      <c r="H14" s="23" t="s">
        <v>8</v>
      </c>
      <c r="I14" s="23" t="s">
        <v>9</v>
      </c>
      <c r="J14" s="21" t="s">
        <v>10</v>
      </c>
      <c r="K14" s="21" t="s">
        <v>11</v>
      </c>
      <c r="L14" s="21" t="s">
        <v>12</v>
      </c>
      <c r="M14" s="23" t="s">
        <v>13</v>
      </c>
      <c r="N14" s="8"/>
    </row>
    <row r="15" spans="2:14" ht="15" customHeight="1">
      <c r="B15" s="24">
        <v>2024</v>
      </c>
      <c r="C15" s="18" t="s">
        <v>130</v>
      </c>
      <c r="D15" s="24">
        <v>38</v>
      </c>
      <c r="E15" s="25">
        <v>0.42299999999999999</v>
      </c>
      <c r="F15" s="25">
        <v>0.86599999999999999</v>
      </c>
      <c r="G15" s="24">
        <v>110</v>
      </c>
      <c r="H15" s="26">
        <v>2.6</v>
      </c>
      <c r="I15" s="26">
        <v>4.2</v>
      </c>
      <c r="J15" s="24">
        <v>27</v>
      </c>
      <c r="K15" s="24">
        <v>1</v>
      </c>
      <c r="L15" s="24">
        <v>677</v>
      </c>
      <c r="M15" s="26">
        <f>L15/D15</f>
        <v>17.815789473684209</v>
      </c>
      <c r="N15" s="12"/>
    </row>
    <row r="16" spans="2:14" ht="15" customHeight="1">
      <c r="B16" s="27" t="s">
        <v>15</v>
      </c>
      <c r="C16" s="18" t="s">
        <v>18</v>
      </c>
      <c r="D16" s="24">
        <v>235</v>
      </c>
      <c r="E16" s="25">
        <v>0.432</v>
      </c>
      <c r="F16" s="25">
        <v>0.88200000000000001</v>
      </c>
      <c r="G16" s="24">
        <v>389</v>
      </c>
      <c r="H16" s="26">
        <v>2.5</v>
      </c>
      <c r="I16" s="26">
        <v>4</v>
      </c>
      <c r="J16" s="24">
        <v>200</v>
      </c>
      <c r="K16" s="24">
        <v>16</v>
      </c>
      <c r="L16" s="24">
        <v>3368</v>
      </c>
      <c r="M16" s="26">
        <f>L16/D16</f>
        <v>14.331914893617022</v>
      </c>
      <c r="N16" s="12"/>
    </row>
    <row r="17" spans="2:14" s="28" customFormat="1" ht="15" customHeight="1">
      <c r="B17" s="9"/>
      <c r="C17" s="1"/>
      <c r="D17" s="10"/>
      <c r="E17" s="11"/>
      <c r="F17" s="11"/>
      <c r="G17" s="10"/>
      <c r="H17" s="12"/>
      <c r="I17" s="12"/>
      <c r="J17" s="10"/>
      <c r="K17" s="10"/>
      <c r="L17" s="10"/>
      <c r="M17" s="12"/>
      <c r="N17" s="12"/>
    </row>
    <row r="18" spans="2:14" ht="15" customHeight="1">
      <c r="B18" s="30" t="s">
        <v>164</v>
      </c>
    </row>
    <row r="19" spans="2:14" ht="15" customHeight="1">
      <c r="B19" s="19" t="s">
        <v>2</v>
      </c>
      <c r="C19" s="20" t="s">
        <v>3</v>
      </c>
      <c r="D19" s="21" t="s">
        <v>4</v>
      </c>
      <c r="E19" s="22" t="s">
        <v>5</v>
      </c>
      <c r="F19" s="22" t="s">
        <v>6</v>
      </c>
      <c r="G19" s="21" t="s">
        <v>7</v>
      </c>
      <c r="H19" s="23" t="s">
        <v>8</v>
      </c>
      <c r="I19" s="23" t="s">
        <v>9</v>
      </c>
      <c r="J19" s="21" t="s">
        <v>10</v>
      </c>
      <c r="K19" s="21" t="s">
        <v>11</v>
      </c>
      <c r="L19" s="21" t="s">
        <v>12</v>
      </c>
      <c r="M19" s="23" t="s">
        <v>13</v>
      </c>
      <c r="N19" s="8"/>
    </row>
    <row r="20" spans="2:14" ht="15" customHeight="1">
      <c r="B20" s="24">
        <v>2020</v>
      </c>
      <c r="C20" s="18" t="s">
        <v>130</v>
      </c>
      <c r="D20" s="24">
        <v>22</v>
      </c>
      <c r="E20" s="25">
        <v>0.46</v>
      </c>
      <c r="F20" s="25">
        <v>0.77300000000000002</v>
      </c>
      <c r="G20" s="24">
        <v>0</v>
      </c>
      <c r="H20" s="26">
        <v>4.5999999999999996</v>
      </c>
      <c r="I20" s="26">
        <v>0.9</v>
      </c>
      <c r="J20" s="24">
        <v>5</v>
      </c>
      <c r="K20" s="24">
        <v>2</v>
      </c>
      <c r="L20" s="24">
        <v>63</v>
      </c>
      <c r="M20" s="26">
        <f>L20/D20</f>
        <v>2.8636363636363638</v>
      </c>
      <c r="N20" s="12"/>
    </row>
    <row r="21" spans="2:14" ht="15" customHeight="1">
      <c r="B21" s="27" t="s">
        <v>15</v>
      </c>
      <c r="C21" s="18" t="s">
        <v>50</v>
      </c>
      <c r="D21" s="24">
        <v>250</v>
      </c>
      <c r="E21" s="25">
        <v>0.53400000000000003</v>
      </c>
      <c r="F21" s="25">
        <v>0.78100000000000003</v>
      </c>
      <c r="G21" s="24">
        <v>0</v>
      </c>
      <c r="H21" s="26">
        <v>3.3</v>
      </c>
      <c r="I21" s="26">
        <v>0.5</v>
      </c>
      <c r="J21" s="24">
        <v>71</v>
      </c>
      <c r="K21" s="24">
        <v>104</v>
      </c>
      <c r="L21" s="24">
        <v>920</v>
      </c>
      <c r="M21" s="26">
        <f>L21/D21</f>
        <v>3.68</v>
      </c>
      <c r="N21" s="12"/>
    </row>
    <row r="22" spans="2:14" ht="15" customHeight="1">
      <c r="B22" s="9"/>
      <c r="D22" s="10"/>
      <c r="E22" s="11"/>
      <c r="F22" s="11"/>
      <c r="G22" s="10"/>
      <c r="H22" s="12"/>
      <c r="I22" s="12"/>
      <c r="J22" s="10"/>
      <c r="K22" s="10"/>
      <c r="L22" s="10"/>
      <c r="M22" s="12"/>
      <c r="N22" s="12"/>
    </row>
    <row r="23" spans="2:14" ht="15" customHeight="1">
      <c r="B23" s="30" t="s">
        <v>165</v>
      </c>
    </row>
    <row r="24" spans="2:14" ht="15" customHeight="1">
      <c r="B24" s="19" t="s">
        <v>2</v>
      </c>
      <c r="C24" s="20" t="s">
        <v>3</v>
      </c>
      <c r="D24" s="21" t="s">
        <v>4</v>
      </c>
      <c r="E24" s="22" t="s">
        <v>5</v>
      </c>
      <c r="F24" s="22" t="s">
        <v>6</v>
      </c>
      <c r="G24" s="21" t="s">
        <v>7</v>
      </c>
      <c r="H24" s="23" t="s">
        <v>8</v>
      </c>
      <c r="I24" s="23" t="s">
        <v>9</v>
      </c>
      <c r="J24" s="21" t="s">
        <v>10</v>
      </c>
      <c r="K24" s="21" t="s">
        <v>11</v>
      </c>
      <c r="L24" s="21" t="s">
        <v>12</v>
      </c>
      <c r="M24" s="23" t="s">
        <v>13</v>
      </c>
      <c r="N24" s="8"/>
    </row>
    <row r="25" spans="2:14" ht="15" customHeight="1">
      <c r="B25" s="24">
        <v>2018</v>
      </c>
      <c r="C25" s="18" t="s">
        <v>130</v>
      </c>
      <c r="D25" s="24">
        <v>32</v>
      </c>
      <c r="E25" s="25">
        <v>0.5</v>
      </c>
      <c r="F25" s="25">
        <v>0.5</v>
      </c>
      <c r="G25" s="24">
        <v>0</v>
      </c>
      <c r="H25" s="26">
        <v>2.2000000000000002</v>
      </c>
      <c r="I25" s="26">
        <v>1.2</v>
      </c>
      <c r="J25" s="24">
        <v>3</v>
      </c>
      <c r="K25" s="24">
        <v>2</v>
      </c>
      <c r="L25" s="24">
        <v>89</v>
      </c>
      <c r="M25" s="26">
        <f>L25/D25</f>
        <v>2.78125</v>
      </c>
      <c r="N25" s="12"/>
    </row>
    <row r="26" spans="2:14" ht="15" customHeight="1">
      <c r="B26" s="27" t="s">
        <v>15</v>
      </c>
      <c r="C26" s="18" t="s">
        <v>33</v>
      </c>
      <c r="D26" s="24">
        <v>167</v>
      </c>
      <c r="E26" s="25">
        <v>0.47</v>
      </c>
      <c r="F26" s="25">
        <v>0.63400000000000001</v>
      </c>
      <c r="G26" s="24">
        <v>4</v>
      </c>
      <c r="H26" s="26">
        <v>4.5999999999999996</v>
      </c>
      <c r="I26" s="26">
        <v>1.2</v>
      </c>
      <c r="J26" s="24">
        <v>76</v>
      </c>
      <c r="K26" s="24">
        <v>54</v>
      </c>
      <c r="L26" s="24">
        <v>1358</v>
      </c>
      <c r="M26" s="26">
        <f>L26/D26</f>
        <v>8.1317365269461082</v>
      </c>
      <c r="N26" s="12"/>
    </row>
    <row r="27" spans="2:14" ht="15" customHeight="1">
      <c r="B27" s="9"/>
      <c r="D27" s="10"/>
      <c r="E27" s="11"/>
      <c r="F27" s="11"/>
      <c r="G27" s="10"/>
      <c r="H27" s="12"/>
      <c r="I27" s="12"/>
      <c r="J27" s="10"/>
      <c r="K27" s="10"/>
      <c r="L27" s="10"/>
      <c r="M27" s="12"/>
      <c r="N27" s="12"/>
    </row>
    <row r="28" spans="2:14" ht="15" customHeight="1">
      <c r="B28" s="30" t="s">
        <v>166</v>
      </c>
    </row>
    <row r="29" spans="2:14" ht="15" customHeight="1">
      <c r="B29" s="19" t="s">
        <v>2</v>
      </c>
      <c r="C29" s="20" t="s">
        <v>3</v>
      </c>
      <c r="D29" s="21" t="s">
        <v>4</v>
      </c>
      <c r="E29" s="22" t="s">
        <v>5</v>
      </c>
      <c r="F29" s="22" t="s">
        <v>6</v>
      </c>
      <c r="G29" s="21" t="s">
        <v>7</v>
      </c>
      <c r="H29" s="23" t="s">
        <v>8</v>
      </c>
      <c r="I29" s="23" t="s">
        <v>9</v>
      </c>
      <c r="J29" s="21" t="s">
        <v>10</v>
      </c>
      <c r="K29" s="21" t="s">
        <v>11</v>
      </c>
      <c r="L29" s="21" t="s">
        <v>12</v>
      </c>
      <c r="M29" s="23" t="s">
        <v>13</v>
      </c>
      <c r="N29" s="8"/>
    </row>
    <row r="30" spans="2:14" ht="15" customHeight="1">
      <c r="B30" s="24">
        <v>2019</v>
      </c>
      <c r="C30" s="18" t="s">
        <v>130</v>
      </c>
      <c r="D30" s="24">
        <v>33</v>
      </c>
      <c r="E30" s="25">
        <v>0.36</v>
      </c>
      <c r="F30" s="25">
        <v>0.6</v>
      </c>
      <c r="G30" s="24">
        <v>30</v>
      </c>
      <c r="H30" s="26">
        <v>1.5</v>
      </c>
      <c r="I30" s="26">
        <v>1.2</v>
      </c>
      <c r="J30" s="24">
        <v>13</v>
      </c>
      <c r="K30" s="24">
        <v>12</v>
      </c>
      <c r="L30" s="24">
        <v>113</v>
      </c>
      <c r="M30" s="26">
        <f>L30/D30</f>
        <v>3.4242424242424243</v>
      </c>
      <c r="N30" s="12"/>
    </row>
    <row r="31" spans="2:14" ht="15" customHeight="1">
      <c r="B31" s="27" t="s">
        <v>15</v>
      </c>
      <c r="C31" s="18" t="s">
        <v>18</v>
      </c>
      <c r="D31" s="24">
        <v>225</v>
      </c>
      <c r="E31" s="25">
        <v>0.36099999999999999</v>
      </c>
      <c r="F31" s="25">
        <v>0.81699999999999995</v>
      </c>
      <c r="G31" s="24">
        <v>297</v>
      </c>
      <c r="H31" s="26">
        <v>2.6</v>
      </c>
      <c r="I31" s="26">
        <v>1.6</v>
      </c>
      <c r="J31" s="24">
        <v>161</v>
      </c>
      <c r="K31" s="24">
        <v>73</v>
      </c>
      <c r="L31" s="24">
        <v>1658</v>
      </c>
      <c r="M31" s="26">
        <f>L31/D31</f>
        <v>7.3688888888888888</v>
      </c>
      <c r="N31" s="12"/>
    </row>
    <row r="33" spans="2:14" ht="15" customHeight="1">
      <c r="B33" s="30" t="s">
        <v>167</v>
      </c>
    </row>
    <row r="34" spans="2:14" ht="15" customHeight="1">
      <c r="B34" s="19" t="s">
        <v>2</v>
      </c>
      <c r="C34" s="20" t="s">
        <v>3</v>
      </c>
      <c r="D34" s="21" t="s">
        <v>4</v>
      </c>
      <c r="E34" s="22" t="s">
        <v>5</v>
      </c>
      <c r="F34" s="22" t="s">
        <v>6</v>
      </c>
      <c r="G34" s="21" t="s">
        <v>7</v>
      </c>
      <c r="H34" s="23" t="s">
        <v>8</v>
      </c>
      <c r="I34" s="23" t="s">
        <v>9</v>
      </c>
      <c r="J34" s="21" t="s">
        <v>10</v>
      </c>
      <c r="K34" s="21" t="s">
        <v>11</v>
      </c>
      <c r="L34" s="21" t="s">
        <v>12</v>
      </c>
      <c r="M34" s="23" t="s">
        <v>13</v>
      </c>
      <c r="N34" s="8"/>
    </row>
    <row r="35" spans="2:14" ht="15" customHeight="1">
      <c r="B35" s="24">
        <v>2024</v>
      </c>
      <c r="C35" s="18" t="s">
        <v>130</v>
      </c>
      <c r="D35" s="24">
        <v>37</v>
      </c>
      <c r="E35" s="25">
        <v>0.43</v>
      </c>
      <c r="F35" s="25">
        <v>0.86699999999999999</v>
      </c>
      <c r="G35" s="24">
        <v>70</v>
      </c>
      <c r="H35" s="26">
        <v>4.4000000000000004</v>
      </c>
      <c r="I35" s="26">
        <v>5.3</v>
      </c>
      <c r="J35" s="24">
        <v>37</v>
      </c>
      <c r="K35" s="24">
        <v>8</v>
      </c>
      <c r="L35" s="24">
        <v>583</v>
      </c>
      <c r="M35" s="26">
        <f>L35/D35</f>
        <v>15.756756756756756</v>
      </c>
      <c r="N35" s="12"/>
    </row>
    <row r="36" spans="2:14" ht="15" customHeight="1">
      <c r="B36" s="27" t="s">
        <v>15</v>
      </c>
      <c r="C36" s="18" t="s">
        <v>71</v>
      </c>
      <c r="D36" s="24">
        <v>199</v>
      </c>
      <c r="E36" s="25">
        <v>0.46500000000000002</v>
      </c>
      <c r="F36" s="25">
        <v>0.85199999999999998</v>
      </c>
      <c r="G36" s="24">
        <v>231</v>
      </c>
      <c r="H36" s="26">
        <v>4</v>
      </c>
      <c r="I36" s="26">
        <v>4</v>
      </c>
      <c r="J36" s="24">
        <v>214</v>
      </c>
      <c r="K36" s="24">
        <v>46</v>
      </c>
      <c r="L36" s="24">
        <v>2685</v>
      </c>
      <c r="M36" s="26">
        <f>L36/D36</f>
        <v>13.492462311557789</v>
      </c>
      <c r="N36" s="12"/>
    </row>
    <row r="38" spans="2:14" ht="15" customHeight="1">
      <c r="B38" s="30" t="s">
        <v>168</v>
      </c>
    </row>
    <row r="39" spans="2:14" ht="15" customHeight="1">
      <c r="B39" s="19" t="s">
        <v>2</v>
      </c>
      <c r="C39" s="20" t="s">
        <v>3</v>
      </c>
      <c r="D39" s="21" t="s">
        <v>4</v>
      </c>
      <c r="E39" s="22" t="s">
        <v>5</v>
      </c>
      <c r="F39" s="22" t="s">
        <v>6</v>
      </c>
      <c r="G39" s="21" t="s">
        <v>7</v>
      </c>
      <c r="H39" s="23" t="s">
        <v>8</v>
      </c>
      <c r="I39" s="23" t="s">
        <v>9</v>
      </c>
      <c r="J39" s="21" t="s">
        <v>10</v>
      </c>
      <c r="K39" s="21" t="s">
        <v>11</v>
      </c>
      <c r="L39" s="21" t="s">
        <v>12</v>
      </c>
      <c r="M39" s="23" t="s">
        <v>13</v>
      </c>
      <c r="N39" s="8"/>
    </row>
    <row r="40" spans="2:14" ht="15" customHeight="1">
      <c r="B40" s="24">
        <v>2022</v>
      </c>
      <c r="C40" s="18" t="s">
        <v>130</v>
      </c>
      <c r="D40" s="24">
        <v>21</v>
      </c>
      <c r="E40" s="25">
        <v>0.38100000000000001</v>
      </c>
      <c r="F40" s="25">
        <v>0.76200000000000001</v>
      </c>
      <c r="G40" s="24">
        <v>34</v>
      </c>
      <c r="H40" s="26">
        <v>2</v>
      </c>
      <c r="I40" s="26">
        <v>1.2</v>
      </c>
      <c r="J40" s="24">
        <v>9</v>
      </c>
      <c r="K40" s="24">
        <v>3</v>
      </c>
      <c r="L40" s="24">
        <v>140</v>
      </c>
      <c r="M40" s="26">
        <f>L40/D40</f>
        <v>6.666666666666667</v>
      </c>
      <c r="N40" s="12"/>
    </row>
    <row r="41" spans="2:14" ht="15" customHeight="1">
      <c r="B41" s="27" t="s">
        <v>15</v>
      </c>
      <c r="C41" s="18" t="s">
        <v>20</v>
      </c>
      <c r="D41" s="24">
        <v>253</v>
      </c>
      <c r="E41" s="25">
        <v>0.38500000000000001</v>
      </c>
      <c r="F41" s="25">
        <v>0.86199999999999999</v>
      </c>
      <c r="G41" s="24">
        <v>407</v>
      </c>
      <c r="H41" s="26">
        <v>2.2000000000000002</v>
      </c>
      <c r="I41" s="26">
        <v>1.5</v>
      </c>
      <c r="J41" s="24">
        <v>261</v>
      </c>
      <c r="K41" s="24">
        <v>64</v>
      </c>
      <c r="L41" s="24">
        <v>2659</v>
      </c>
      <c r="M41" s="26">
        <f>L41/D41</f>
        <v>10.5098814229249</v>
      </c>
      <c r="N41" s="12"/>
    </row>
    <row r="42" spans="2:14" ht="15" customHeight="1">
      <c r="B42" s="29"/>
    </row>
    <row r="43" spans="2:14" ht="15" customHeight="1">
      <c r="B43" s="30" t="s">
        <v>169</v>
      </c>
    </row>
    <row r="44" spans="2:14" ht="15" customHeight="1">
      <c r="B44" s="19" t="s">
        <v>2</v>
      </c>
      <c r="C44" s="20" t="s">
        <v>3</v>
      </c>
      <c r="D44" s="21" t="s">
        <v>4</v>
      </c>
      <c r="E44" s="22" t="s">
        <v>5</v>
      </c>
      <c r="F44" s="22" t="s">
        <v>6</v>
      </c>
      <c r="G44" s="21" t="s">
        <v>7</v>
      </c>
      <c r="H44" s="23" t="s">
        <v>8</v>
      </c>
      <c r="I44" s="23" t="s">
        <v>9</v>
      </c>
      <c r="J44" s="21" t="s">
        <v>10</v>
      </c>
      <c r="K44" s="21" t="s">
        <v>11</v>
      </c>
      <c r="L44" s="21" t="s">
        <v>12</v>
      </c>
      <c r="M44" s="23" t="s">
        <v>13</v>
      </c>
      <c r="N44" s="8"/>
    </row>
    <row r="45" spans="2:14" ht="15" customHeight="1">
      <c r="B45" s="24">
        <v>2024</v>
      </c>
      <c r="C45" s="18" t="s">
        <v>130</v>
      </c>
      <c r="D45" s="24">
        <v>27</v>
      </c>
      <c r="E45" s="25">
        <v>0.40799999999999997</v>
      </c>
      <c r="F45" s="25">
        <v>0.81299999999999994</v>
      </c>
      <c r="G45" s="24">
        <v>26</v>
      </c>
      <c r="H45" s="26">
        <v>2.9</v>
      </c>
      <c r="I45" s="26">
        <v>4.9000000000000004</v>
      </c>
      <c r="J45" s="24">
        <v>34</v>
      </c>
      <c r="K45" s="24">
        <v>19</v>
      </c>
      <c r="L45" s="24">
        <v>233</v>
      </c>
      <c r="M45" s="26">
        <f>L45/D45</f>
        <v>8.6296296296296298</v>
      </c>
      <c r="N45" s="12"/>
    </row>
    <row r="46" spans="2:14" ht="15" customHeight="1">
      <c r="B46" s="27" t="s">
        <v>15</v>
      </c>
      <c r="C46" s="18" t="s">
        <v>20</v>
      </c>
      <c r="D46" s="24">
        <v>325</v>
      </c>
      <c r="E46" s="25">
        <v>0.46200000000000002</v>
      </c>
      <c r="F46" s="25">
        <v>0.86499999999999999</v>
      </c>
      <c r="G46" s="24">
        <v>347</v>
      </c>
      <c r="H46" s="26">
        <v>3.1</v>
      </c>
      <c r="I46" s="26">
        <v>5</v>
      </c>
      <c r="J46" s="24">
        <v>374</v>
      </c>
      <c r="K46" s="24">
        <v>91</v>
      </c>
      <c r="L46" s="24">
        <v>3916</v>
      </c>
      <c r="M46" s="26">
        <f>L46/D46</f>
        <v>12.049230769230769</v>
      </c>
      <c r="N46" s="12"/>
    </row>
    <row r="48" spans="2:14" ht="15" customHeight="1">
      <c r="B48" s="30" t="s">
        <v>170</v>
      </c>
    </row>
    <row r="49" spans="2:14" ht="15" customHeight="1">
      <c r="B49" s="19" t="s">
        <v>2</v>
      </c>
      <c r="C49" s="20" t="s">
        <v>3</v>
      </c>
      <c r="D49" s="21" t="s">
        <v>4</v>
      </c>
      <c r="E49" s="22" t="s">
        <v>5</v>
      </c>
      <c r="F49" s="22" t="s">
        <v>6</v>
      </c>
      <c r="G49" s="21" t="s">
        <v>7</v>
      </c>
      <c r="H49" s="23" t="s">
        <v>8</v>
      </c>
      <c r="I49" s="23" t="s">
        <v>9</v>
      </c>
      <c r="J49" s="21" t="s">
        <v>10</v>
      </c>
      <c r="K49" s="21" t="s">
        <v>11</v>
      </c>
      <c r="L49" s="21" t="s">
        <v>12</v>
      </c>
      <c r="M49" s="23" t="s">
        <v>13</v>
      </c>
      <c r="N49" s="8"/>
    </row>
    <row r="50" spans="2:14" ht="15" customHeight="1">
      <c r="B50" s="24">
        <v>2021</v>
      </c>
      <c r="C50" s="18" t="s">
        <v>130</v>
      </c>
      <c r="D50" s="24">
        <v>21</v>
      </c>
      <c r="E50" s="25">
        <v>0.318</v>
      </c>
      <c r="F50" s="25">
        <v>0.6</v>
      </c>
      <c r="G50" s="24">
        <v>5</v>
      </c>
      <c r="H50" s="26">
        <v>0.9</v>
      </c>
      <c r="I50" s="26">
        <v>0.6</v>
      </c>
      <c r="J50" s="24">
        <v>3</v>
      </c>
      <c r="K50" s="24">
        <v>1</v>
      </c>
      <c r="L50" s="24">
        <v>22</v>
      </c>
      <c r="M50" s="26">
        <f>L50/D50</f>
        <v>1.0476190476190477</v>
      </c>
      <c r="N50" s="12"/>
    </row>
    <row r="51" spans="2:14" ht="15" customHeight="1">
      <c r="B51" s="27" t="s">
        <v>15</v>
      </c>
      <c r="C51" s="18" t="s">
        <v>40</v>
      </c>
      <c r="D51" s="24">
        <v>21</v>
      </c>
      <c r="E51" s="25">
        <v>0.318</v>
      </c>
      <c r="F51" s="25">
        <v>0.6</v>
      </c>
      <c r="G51" s="24">
        <v>5</v>
      </c>
      <c r="H51" s="26">
        <v>0.9</v>
      </c>
      <c r="I51" s="26">
        <v>0.6</v>
      </c>
      <c r="J51" s="24">
        <v>3</v>
      </c>
      <c r="K51" s="24">
        <v>1</v>
      </c>
      <c r="L51" s="24">
        <v>22</v>
      </c>
      <c r="M51" s="26">
        <f>L51/D51</f>
        <v>1.0476190476190477</v>
      </c>
      <c r="N51" s="12"/>
    </row>
    <row r="53" spans="2:14" ht="15" customHeight="1">
      <c r="B53" s="30" t="s">
        <v>171</v>
      </c>
    </row>
    <row r="54" spans="2:14" ht="15" customHeight="1">
      <c r="B54" s="19" t="s">
        <v>2</v>
      </c>
      <c r="C54" s="20" t="s">
        <v>3</v>
      </c>
      <c r="D54" s="21" t="s">
        <v>4</v>
      </c>
      <c r="E54" s="22" t="s">
        <v>5</v>
      </c>
      <c r="F54" s="22" t="s">
        <v>6</v>
      </c>
      <c r="G54" s="21" t="s">
        <v>7</v>
      </c>
      <c r="H54" s="23" t="s">
        <v>8</v>
      </c>
      <c r="I54" s="23" t="s">
        <v>9</v>
      </c>
      <c r="J54" s="21" t="s">
        <v>10</v>
      </c>
      <c r="K54" s="21" t="s">
        <v>11</v>
      </c>
      <c r="L54" s="21" t="s">
        <v>12</v>
      </c>
      <c r="M54" s="23" t="s">
        <v>13</v>
      </c>
      <c r="N54" s="8"/>
    </row>
    <row r="55" spans="2:14" ht="15" customHeight="1">
      <c r="B55" s="24">
        <v>2021</v>
      </c>
      <c r="C55" s="18" t="s">
        <v>130</v>
      </c>
      <c r="D55" s="24">
        <v>25</v>
      </c>
      <c r="E55" s="25">
        <v>0.32700000000000001</v>
      </c>
      <c r="F55" s="25">
        <v>0.83299999999999996</v>
      </c>
      <c r="G55" s="24">
        <v>0</v>
      </c>
      <c r="H55" s="26">
        <v>1.8</v>
      </c>
      <c r="I55" s="26">
        <v>0.8</v>
      </c>
      <c r="J55" s="24">
        <v>3</v>
      </c>
      <c r="K55" s="24">
        <v>16</v>
      </c>
      <c r="L55" s="24">
        <v>49</v>
      </c>
      <c r="M55" s="26">
        <f>L55/D55</f>
        <v>1.96</v>
      </c>
      <c r="N55" s="12"/>
    </row>
    <row r="56" spans="2:14" ht="15" customHeight="1">
      <c r="B56" s="27" t="s">
        <v>15</v>
      </c>
      <c r="C56" s="18" t="s">
        <v>23</v>
      </c>
      <c r="D56" s="24">
        <v>82</v>
      </c>
      <c r="E56" s="25">
        <v>0.33700000000000002</v>
      </c>
      <c r="F56" s="25">
        <v>0.66700000000000004</v>
      </c>
      <c r="G56" s="24">
        <v>0</v>
      </c>
      <c r="H56" s="26">
        <v>2.2000000000000002</v>
      </c>
      <c r="I56" s="26">
        <v>0.7</v>
      </c>
      <c r="J56" s="24">
        <v>18</v>
      </c>
      <c r="K56" s="24">
        <v>40</v>
      </c>
      <c r="L56" s="24">
        <v>158</v>
      </c>
      <c r="M56" s="26">
        <f>L56/D56</f>
        <v>1.9268292682926829</v>
      </c>
      <c r="N56" s="12"/>
    </row>
    <row r="57" spans="2:14" ht="15" customHeight="1">
      <c r="B57" s="9"/>
      <c r="D57" s="10"/>
      <c r="E57" s="11"/>
      <c r="F57" s="11"/>
      <c r="G57" s="10"/>
      <c r="H57" s="12"/>
      <c r="I57" s="12"/>
      <c r="J57" s="10"/>
      <c r="K57" s="10"/>
      <c r="L57" s="10"/>
      <c r="M57" s="12"/>
      <c r="N57" s="12"/>
    </row>
    <row r="58" spans="2:14" ht="15" customHeight="1">
      <c r="B58" s="30" t="s">
        <v>172</v>
      </c>
    </row>
    <row r="59" spans="2:14" ht="15" customHeight="1">
      <c r="B59" s="19" t="s">
        <v>2</v>
      </c>
      <c r="C59" s="20" t="s">
        <v>3</v>
      </c>
      <c r="D59" s="21" t="s">
        <v>4</v>
      </c>
      <c r="E59" s="22" t="s">
        <v>5</v>
      </c>
      <c r="F59" s="22" t="s">
        <v>6</v>
      </c>
      <c r="G59" s="21" t="s">
        <v>7</v>
      </c>
      <c r="H59" s="23" t="s">
        <v>8</v>
      </c>
      <c r="I59" s="23" t="s">
        <v>9</v>
      </c>
      <c r="J59" s="21" t="s">
        <v>10</v>
      </c>
      <c r="K59" s="21" t="s">
        <v>11</v>
      </c>
      <c r="L59" s="21" t="s">
        <v>12</v>
      </c>
      <c r="M59" s="23" t="s">
        <v>13</v>
      </c>
      <c r="N59" s="8"/>
    </row>
    <row r="60" spans="2:14" ht="15" customHeight="1">
      <c r="B60" s="24">
        <v>2024</v>
      </c>
      <c r="C60" s="18" t="s">
        <v>130</v>
      </c>
      <c r="D60" s="24">
        <v>39</v>
      </c>
      <c r="E60" s="25">
        <v>0.32300000000000001</v>
      </c>
      <c r="F60" s="25">
        <v>0.66700000000000004</v>
      </c>
      <c r="G60" s="24">
        <v>9</v>
      </c>
      <c r="H60" s="26">
        <v>4.7</v>
      </c>
      <c r="I60" s="26">
        <v>0.7</v>
      </c>
      <c r="J60" s="24">
        <v>21</v>
      </c>
      <c r="K60" s="24">
        <v>33</v>
      </c>
      <c r="L60" s="24">
        <v>55</v>
      </c>
      <c r="M60" s="26">
        <f>L60/D60</f>
        <v>1.4102564102564104</v>
      </c>
      <c r="N60" s="12"/>
    </row>
    <row r="61" spans="2:14" ht="15" customHeight="1">
      <c r="B61" s="27" t="s">
        <v>15</v>
      </c>
      <c r="C61" s="18" t="s">
        <v>50</v>
      </c>
      <c r="D61" s="24">
        <v>281</v>
      </c>
      <c r="E61" s="25">
        <v>0.49299999999999999</v>
      </c>
      <c r="F61" s="25">
        <v>0.67700000000000005</v>
      </c>
      <c r="G61" s="24">
        <v>40</v>
      </c>
      <c r="H61" s="26">
        <v>5.7</v>
      </c>
      <c r="I61" s="26">
        <v>0.7</v>
      </c>
      <c r="J61" s="24">
        <v>147</v>
      </c>
      <c r="K61" s="24">
        <v>302</v>
      </c>
      <c r="L61" s="24">
        <v>1013</v>
      </c>
      <c r="M61" s="26">
        <f>L61/D61</f>
        <v>3.604982206405694</v>
      </c>
      <c r="N61" s="12"/>
    </row>
    <row r="62" spans="2:14" s="28" customFormat="1" ht="15" customHeight="1">
      <c r="B62" s="9"/>
      <c r="C62" s="1"/>
      <c r="D62" s="10"/>
      <c r="E62" s="11"/>
      <c r="F62" s="11"/>
      <c r="G62" s="10"/>
      <c r="H62" s="12"/>
      <c r="I62" s="12"/>
      <c r="J62" s="10"/>
      <c r="K62" s="10"/>
      <c r="L62" s="10"/>
      <c r="M62" s="12"/>
      <c r="N62" s="12"/>
    </row>
    <row r="63" spans="2:14" ht="15" customHeight="1">
      <c r="B63" s="30" t="s">
        <v>173</v>
      </c>
    </row>
    <row r="64" spans="2:14" ht="15" customHeight="1">
      <c r="B64" s="19" t="s">
        <v>2</v>
      </c>
      <c r="C64" s="20" t="s">
        <v>3</v>
      </c>
      <c r="D64" s="21" t="s">
        <v>4</v>
      </c>
      <c r="E64" s="22" t="s">
        <v>5</v>
      </c>
      <c r="F64" s="22" t="s">
        <v>6</v>
      </c>
      <c r="G64" s="21" t="s">
        <v>7</v>
      </c>
      <c r="H64" s="23" t="s">
        <v>8</v>
      </c>
      <c r="I64" s="23" t="s">
        <v>9</v>
      </c>
      <c r="J64" s="21" t="s">
        <v>10</v>
      </c>
      <c r="K64" s="21" t="s">
        <v>11</v>
      </c>
      <c r="L64" s="21" t="s">
        <v>12</v>
      </c>
      <c r="M64" s="23" t="s">
        <v>13</v>
      </c>
      <c r="N64" s="8"/>
    </row>
    <row r="65" spans="2:14" ht="15" customHeight="1">
      <c r="B65" s="24">
        <v>2021</v>
      </c>
      <c r="C65" s="18" t="s">
        <v>130</v>
      </c>
      <c r="D65" s="24">
        <v>25</v>
      </c>
      <c r="E65" s="25">
        <v>0.54300000000000004</v>
      </c>
      <c r="F65" s="25">
        <v>0.71</v>
      </c>
      <c r="G65" s="24">
        <v>5</v>
      </c>
      <c r="H65" s="26">
        <v>8.1999999999999993</v>
      </c>
      <c r="I65" s="26">
        <v>1.3</v>
      </c>
      <c r="J65" s="24">
        <v>22</v>
      </c>
      <c r="K65" s="24">
        <v>41</v>
      </c>
      <c r="L65" s="24">
        <v>356</v>
      </c>
      <c r="M65" s="26">
        <f>L65/D65</f>
        <v>14.24</v>
      </c>
      <c r="N65" s="12"/>
    </row>
    <row r="66" spans="2:14" ht="15" customHeight="1">
      <c r="B66" s="27" t="s">
        <v>15</v>
      </c>
      <c r="C66" s="18" t="s">
        <v>33</v>
      </c>
      <c r="D66" s="24">
        <v>142</v>
      </c>
      <c r="E66" s="25">
        <v>0.54400000000000004</v>
      </c>
      <c r="F66" s="25">
        <v>0.754</v>
      </c>
      <c r="G66" s="24">
        <v>19</v>
      </c>
      <c r="H66" s="26">
        <v>7.7</v>
      </c>
      <c r="I66" s="26">
        <v>1.5</v>
      </c>
      <c r="J66" s="24">
        <v>94</v>
      </c>
      <c r="K66" s="24">
        <v>223</v>
      </c>
      <c r="L66" s="24">
        <v>2309</v>
      </c>
      <c r="M66" s="26">
        <f>L66/D66</f>
        <v>16.260563380281692</v>
      </c>
      <c r="N66" s="12"/>
    </row>
    <row r="67" spans="2:14" ht="15" customHeight="1">
      <c r="D67" s="14"/>
    </row>
    <row r="68" spans="2:14" ht="15" customHeight="1">
      <c r="B68" s="30" t="s">
        <v>174</v>
      </c>
    </row>
    <row r="69" spans="2:14" ht="15" customHeight="1">
      <c r="B69" s="19" t="s">
        <v>2</v>
      </c>
      <c r="C69" s="20" t="s">
        <v>3</v>
      </c>
      <c r="D69" s="21" t="s">
        <v>4</v>
      </c>
      <c r="E69" s="22" t="s">
        <v>5</v>
      </c>
      <c r="F69" s="22" t="s">
        <v>6</v>
      </c>
      <c r="G69" s="21" t="s">
        <v>7</v>
      </c>
      <c r="H69" s="23" t="s">
        <v>8</v>
      </c>
      <c r="I69" s="23" t="s">
        <v>9</v>
      </c>
      <c r="J69" s="21" t="s">
        <v>10</v>
      </c>
      <c r="K69" s="21" t="s">
        <v>11</v>
      </c>
      <c r="L69" s="21" t="s">
        <v>12</v>
      </c>
      <c r="M69" s="23" t="s">
        <v>13</v>
      </c>
      <c r="N69" s="8"/>
    </row>
    <row r="70" spans="2:14" ht="15" customHeight="1">
      <c r="B70" s="24">
        <v>2024</v>
      </c>
      <c r="C70" s="18" t="s">
        <v>130</v>
      </c>
      <c r="D70" s="24">
        <v>31</v>
      </c>
      <c r="E70" s="25">
        <v>0.42199999999999999</v>
      </c>
      <c r="F70" s="25">
        <v>0.88900000000000001</v>
      </c>
      <c r="G70" s="24">
        <v>14</v>
      </c>
      <c r="H70" s="26">
        <v>0.4</v>
      </c>
      <c r="I70" s="26">
        <v>0.5</v>
      </c>
      <c r="J70" s="24">
        <v>15</v>
      </c>
      <c r="K70" s="24">
        <v>5</v>
      </c>
      <c r="L70" s="24">
        <v>76</v>
      </c>
      <c r="M70" s="26">
        <f>L70/D70</f>
        <v>2.4516129032258065</v>
      </c>
      <c r="N70" s="12"/>
    </row>
    <row r="71" spans="2:14" ht="15" customHeight="1">
      <c r="B71" s="27" t="s">
        <v>15</v>
      </c>
      <c r="C71" s="18" t="s">
        <v>20</v>
      </c>
      <c r="D71" s="24">
        <v>241</v>
      </c>
      <c r="E71" s="25">
        <v>0.40400000000000003</v>
      </c>
      <c r="F71" s="25">
        <v>0.78500000000000003</v>
      </c>
      <c r="G71" s="24">
        <v>52</v>
      </c>
      <c r="H71" s="26">
        <v>0.8</v>
      </c>
      <c r="I71" s="26">
        <v>1.6</v>
      </c>
      <c r="J71" s="24">
        <v>147</v>
      </c>
      <c r="K71" s="24">
        <v>26</v>
      </c>
      <c r="L71" s="24">
        <v>679</v>
      </c>
      <c r="M71" s="26">
        <f>L71/D71</f>
        <v>2.8174273858921164</v>
      </c>
      <c r="N71" s="12"/>
    </row>
    <row r="72" spans="2:14" ht="15" customHeight="1">
      <c r="D72" s="14"/>
    </row>
    <row r="73" spans="2:14" ht="15" customHeight="1">
      <c r="B73" s="30" t="s">
        <v>175</v>
      </c>
    </row>
    <row r="74" spans="2:14" ht="15" customHeight="1">
      <c r="B74" s="19" t="s">
        <v>2</v>
      </c>
      <c r="C74" s="20" t="s">
        <v>3</v>
      </c>
      <c r="D74" s="21" t="s">
        <v>4</v>
      </c>
      <c r="E74" s="22" t="s">
        <v>5</v>
      </c>
      <c r="F74" s="22" t="s">
        <v>6</v>
      </c>
      <c r="G74" s="21" t="s">
        <v>7</v>
      </c>
      <c r="H74" s="23" t="s">
        <v>8</v>
      </c>
      <c r="I74" s="23" t="s">
        <v>9</v>
      </c>
      <c r="J74" s="21" t="s">
        <v>10</v>
      </c>
      <c r="K74" s="21" t="s">
        <v>11</v>
      </c>
      <c r="L74" s="21" t="s">
        <v>12</v>
      </c>
      <c r="M74" s="23" t="s">
        <v>13</v>
      </c>
      <c r="N74" s="8"/>
    </row>
    <row r="75" spans="2:14" ht="15" customHeight="1">
      <c r="B75" s="24">
        <v>2024</v>
      </c>
      <c r="C75" s="18" t="s">
        <v>130</v>
      </c>
      <c r="D75" s="24">
        <v>40</v>
      </c>
      <c r="E75" s="25">
        <v>0.443</v>
      </c>
      <c r="F75" s="25">
        <v>0.82099999999999995</v>
      </c>
      <c r="G75" s="24">
        <v>47</v>
      </c>
      <c r="H75" s="26">
        <v>3.6</v>
      </c>
      <c r="I75" s="26">
        <v>1.8</v>
      </c>
      <c r="J75" s="24">
        <v>33</v>
      </c>
      <c r="K75" s="24">
        <v>11</v>
      </c>
      <c r="L75" s="24">
        <v>240</v>
      </c>
      <c r="M75" s="26">
        <f>L75/D75</f>
        <v>6</v>
      </c>
      <c r="N75" s="12"/>
    </row>
    <row r="76" spans="2:14" ht="15" customHeight="1">
      <c r="B76" s="27" t="s">
        <v>15</v>
      </c>
      <c r="C76" s="18" t="s">
        <v>162</v>
      </c>
      <c r="D76" s="24">
        <v>381</v>
      </c>
      <c r="E76" s="25">
        <v>0.48499999999999999</v>
      </c>
      <c r="F76" s="25">
        <v>0.8</v>
      </c>
      <c r="G76" s="24">
        <v>364</v>
      </c>
      <c r="H76" s="26">
        <v>3.5</v>
      </c>
      <c r="I76" s="26">
        <v>1.5</v>
      </c>
      <c r="J76" s="24">
        <v>288</v>
      </c>
      <c r="K76" s="24">
        <v>85</v>
      </c>
      <c r="L76" s="24">
        <v>2624</v>
      </c>
      <c r="M76" s="26">
        <f>L76/D76</f>
        <v>6.8871391076115485</v>
      </c>
      <c r="N76" s="12"/>
    </row>
    <row r="77" spans="2:14" s="28" customFormat="1" ht="15" customHeight="1">
      <c r="B77" s="9"/>
      <c r="C77" s="1"/>
      <c r="D77" s="10"/>
      <c r="E77" s="11"/>
      <c r="F77" s="11"/>
      <c r="G77" s="10"/>
      <c r="H77" s="12"/>
      <c r="I77" s="12"/>
      <c r="J77" s="10"/>
      <c r="K77" s="10"/>
      <c r="L77" s="10"/>
      <c r="M77" s="12"/>
      <c r="N77" s="12"/>
    </row>
    <row r="78" spans="2:14" ht="15" customHeight="1">
      <c r="B78" s="30" t="s">
        <v>176</v>
      </c>
    </row>
    <row r="79" spans="2:14" ht="15" customHeight="1">
      <c r="B79" s="19" t="s">
        <v>2</v>
      </c>
      <c r="C79" s="20" t="s">
        <v>3</v>
      </c>
      <c r="D79" s="21" t="s">
        <v>4</v>
      </c>
      <c r="E79" s="22" t="s">
        <v>5</v>
      </c>
      <c r="F79" s="22" t="s">
        <v>6</v>
      </c>
      <c r="G79" s="21" t="s">
        <v>7</v>
      </c>
      <c r="H79" s="23" t="s">
        <v>8</v>
      </c>
      <c r="I79" s="23" t="s">
        <v>9</v>
      </c>
      <c r="J79" s="21" t="s">
        <v>10</v>
      </c>
      <c r="K79" s="21" t="s">
        <v>11</v>
      </c>
      <c r="L79" s="21" t="s">
        <v>12</v>
      </c>
      <c r="M79" s="23" t="s">
        <v>13</v>
      </c>
      <c r="N79" s="8"/>
    </row>
    <row r="80" spans="2:14" ht="15" customHeight="1">
      <c r="B80" s="24">
        <v>2023</v>
      </c>
      <c r="C80" s="18" t="s">
        <v>130</v>
      </c>
      <c r="D80" s="24">
        <v>18</v>
      </c>
      <c r="E80" s="25">
        <v>0.46500000000000002</v>
      </c>
      <c r="F80" s="25">
        <v>0.89300000000000002</v>
      </c>
      <c r="G80" s="24">
        <v>17</v>
      </c>
      <c r="H80" s="26">
        <v>5.4</v>
      </c>
      <c r="I80" s="26">
        <v>3.7</v>
      </c>
      <c r="J80" s="24">
        <v>27</v>
      </c>
      <c r="K80" s="24">
        <v>16</v>
      </c>
      <c r="L80" s="24">
        <v>162</v>
      </c>
      <c r="M80" s="26">
        <f>L80/D80</f>
        <v>9</v>
      </c>
      <c r="N80" s="12"/>
    </row>
    <row r="81" spans="2:14" ht="15" customHeight="1">
      <c r="B81" s="27" t="s">
        <v>15</v>
      </c>
      <c r="C81" s="18" t="s">
        <v>29</v>
      </c>
      <c r="D81" s="24">
        <v>410</v>
      </c>
      <c r="E81" s="25">
        <v>0.47899999999999998</v>
      </c>
      <c r="F81" s="25">
        <v>0.76700000000000002</v>
      </c>
      <c r="G81" s="24">
        <v>342</v>
      </c>
      <c r="H81" s="26">
        <v>8.5</v>
      </c>
      <c r="I81" s="26">
        <v>4</v>
      </c>
      <c r="J81" s="24">
        <v>523</v>
      </c>
      <c r="K81" s="24">
        <v>619</v>
      </c>
      <c r="L81" s="24">
        <v>6574</v>
      </c>
      <c r="M81" s="26">
        <f>L81/D81</f>
        <v>16.034146341463416</v>
      </c>
      <c r="N81" s="12"/>
    </row>
    <row r="83" spans="2:14" ht="15" customHeight="1">
      <c r="B83" s="30" t="s">
        <v>177</v>
      </c>
    </row>
    <row r="84" spans="2:14" ht="15" customHeight="1">
      <c r="B84" s="19" t="s">
        <v>2</v>
      </c>
      <c r="C84" s="20" t="s">
        <v>3</v>
      </c>
      <c r="D84" s="21" t="s">
        <v>4</v>
      </c>
      <c r="E84" s="22" t="s">
        <v>5</v>
      </c>
      <c r="F84" s="22" t="s">
        <v>6</v>
      </c>
      <c r="G84" s="21" t="s">
        <v>7</v>
      </c>
      <c r="H84" s="23" t="s">
        <v>8</v>
      </c>
      <c r="I84" s="23" t="s">
        <v>9</v>
      </c>
      <c r="J84" s="21" t="s">
        <v>10</v>
      </c>
      <c r="K84" s="21" t="s">
        <v>11</v>
      </c>
      <c r="L84" s="21" t="s">
        <v>12</v>
      </c>
      <c r="M84" s="23" t="s">
        <v>13</v>
      </c>
      <c r="N84" s="8"/>
    </row>
    <row r="85" spans="2:14" ht="15" customHeight="1">
      <c r="B85" s="24">
        <v>2018</v>
      </c>
      <c r="C85" s="18" t="s">
        <v>104</v>
      </c>
      <c r="D85" s="24">
        <v>23</v>
      </c>
      <c r="E85" s="25">
        <v>0.436</v>
      </c>
      <c r="F85" s="25">
        <v>0.5</v>
      </c>
      <c r="G85" s="24">
        <v>12</v>
      </c>
      <c r="H85" s="26">
        <v>2.8</v>
      </c>
      <c r="I85" s="26">
        <v>0.7</v>
      </c>
      <c r="J85" s="24">
        <v>2</v>
      </c>
      <c r="K85" s="24">
        <v>5</v>
      </c>
      <c r="L85" s="24">
        <v>83</v>
      </c>
      <c r="M85" s="26">
        <f>L85/D85</f>
        <v>3.6086956521739131</v>
      </c>
      <c r="N85" s="12"/>
    </row>
    <row r="86" spans="2:14" ht="15" customHeight="1">
      <c r="B86" s="27" t="s">
        <v>15</v>
      </c>
      <c r="C86" s="18" t="s">
        <v>23</v>
      </c>
      <c r="D86" s="24">
        <v>89</v>
      </c>
      <c r="E86" s="25">
        <v>0.41299999999999998</v>
      </c>
      <c r="F86" s="25">
        <v>0.73799999999999999</v>
      </c>
      <c r="G86" s="24">
        <v>42</v>
      </c>
      <c r="H86" s="26">
        <v>2.9</v>
      </c>
      <c r="I86" s="26">
        <v>0.6</v>
      </c>
      <c r="J86" s="24">
        <v>24</v>
      </c>
      <c r="K86" s="24">
        <v>39</v>
      </c>
      <c r="L86" s="24">
        <v>357</v>
      </c>
      <c r="M86" s="26">
        <f>L86/D86</f>
        <v>4.01123595505618</v>
      </c>
      <c r="N86" s="12"/>
    </row>
    <row r="88" spans="2:14" ht="15" customHeight="1">
      <c r="B88" s="30" t="s">
        <v>178</v>
      </c>
    </row>
    <row r="89" spans="2:14" ht="15" customHeight="1">
      <c r="B89" s="19" t="s">
        <v>2</v>
      </c>
      <c r="C89" s="20" t="s">
        <v>3</v>
      </c>
      <c r="D89" s="21" t="s">
        <v>4</v>
      </c>
      <c r="E89" s="22" t="s">
        <v>5</v>
      </c>
      <c r="F89" s="22" t="s">
        <v>6</v>
      </c>
      <c r="G89" s="21" t="s">
        <v>7</v>
      </c>
      <c r="H89" s="23" t="s">
        <v>8</v>
      </c>
      <c r="I89" s="23" t="s">
        <v>9</v>
      </c>
      <c r="J89" s="21" t="s">
        <v>10</v>
      </c>
      <c r="K89" s="21" t="s">
        <v>11</v>
      </c>
      <c r="L89" s="21" t="s">
        <v>12</v>
      </c>
      <c r="M89" s="23" t="s">
        <v>13</v>
      </c>
      <c r="N89" s="8"/>
    </row>
    <row r="90" spans="2:14" ht="15" customHeight="1">
      <c r="B90" s="24">
        <v>2024</v>
      </c>
      <c r="C90" s="18" t="s">
        <v>130</v>
      </c>
      <c r="D90" s="24">
        <v>33</v>
      </c>
      <c r="E90" s="25">
        <v>0.5</v>
      </c>
      <c r="F90" s="25">
        <v>0.71399999999999997</v>
      </c>
      <c r="G90" s="24">
        <v>33</v>
      </c>
      <c r="H90" s="26">
        <v>2.8</v>
      </c>
      <c r="I90" s="26">
        <v>2.1</v>
      </c>
      <c r="J90" s="24">
        <v>25</v>
      </c>
      <c r="K90" s="24">
        <v>9</v>
      </c>
      <c r="L90" s="24">
        <v>313</v>
      </c>
      <c r="M90" s="26">
        <f>L90/D90</f>
        <v>9.4848484848484844</v>
      </c>
      <c r="N90" s="12"/>
    </row>
    <row r="91" spans="2:14" ht="15" customHeight="1">
      <c r="B91" s="27" t="s">
        <v>15</v>
      </c>
      <c r="C91" s="18" t="s">
        <v>162</v>
      </c>
      <c r="D91" s="24">
        <v>350</v>
      </c>
      <c r="E91" s="25">
        <v>0.439</v>
      </c>
      <c r="F91" s="25">
        <v>0.79</v>
      </c>
      <c r="G91" s="24">
        <v>406</v>
      </c>
      <c r="H91" s="26">
        <v>3.2</v>
      </c>
      <c r="I91" s="26">
        <v>2.4</v>
      </c>
      <c r="J91" s="24">
        <v>364</v>
      </c>
      <c r="K91" s="24">
        <v>83</v>
      </c>
      <c r="L91" s="24">
        <v>4623</v>
      </c>
      <c r="M91" s="26">
        <f>L91/D91</f>
        <v>13.208571428571428</v>
      </c>
      <c r="N91" s="12"/>
    </row>
    <row r="93" spans="2:14" ht="15" customHeight="1">
      <c r="B93" s="30" t="s">
        <v>179</v>
      </c>
    </row>
    <row r="94" spans="2:14" ht="15" customHeight="1">
      <c r="B94" s="19" t="s">
        <v>2</v>
      </c>
      <c r="C94" s="20" t="s">
        <v>3</v>
      </c>
      <c r="D94" s="21" t="s">
        <v>4</v>
      </c>
      <c r="E94" s="22" t="s">
        <v>5</v>
      </c>
      <c r="F94" s="22" t="s">
        <v>6</v>
      </c>
      <c r="G94" s="21" t="s">
        <v>7</v>
      </c>
      <c r="H94" s="23" t="s">
        <v>8</v>
      </c>
      <c r="I94" s="23" t="s">
        <v>9</v>
      </c>
      <c r="J94" s="21" t="s">
        <v>10</v>
      </c>
      <c r="K94" s="21" t="s">
        <v>11</v>
      </c>
      <c r="L94" s="21" t="s">
        <v>12</v>
      </c>
      <c r="M94" s="23" t="s">
        <v>13</v>
      </c>
    </row>
    <row r="95" spans="2:14" ht="15" customHeight="1">
      <c r="B95" s="24">
        <v>2024</v>
      </c>
      <c r="C95" s="18" t="s">
        <v>130</v>
      </c>
      <c r="D95" s="24">
        <v>6</v>
      </c>
      <c r="E95" s="25">
        <v>0.375</v>
      </c>
      <c r="F95" s="25">
        <v>0.5</v>
      </c>
      <c r="G95" s="24">
        <v>4</v>
      </c>
      <c r="H95" s="26">
        <v>1</v>
      </c>
      <c r="I95" s="26">
        <v>0.8</v>
      </c>
      <c r="J95" s="24">
        <v>0</v>
      </c>
      <c r="K95" s="24">
        <v>0</v>
      </c>
      <c r="L95" s="24">
        <v>17</v>
      </c>
      <c r="M95" s="26">
        <f>L95/D95</f>
        <v>2.8333333333333335</v>
      </c>
    </row>
    <row r="96" spans="2:14" ht="15" customHeight="1">
      <c r="B96" s="27" t="s">
        <v>15</v>
      </c>
      <c r="C96" s="18" t="s">
        <v>23</v>
      </c>
      <c r="D96" s="24">
        <v>63</v>
      </c>
      <c r="E96" s="25">
        <v>0.34200000000000003</v>
      </c>
      <c r="F96" s="25">
        <v>0.68799999999999994</v>
      </c>
      <c r="G96" s="24">
        <v>27</v>
      </c>
      <c r="H96" s="26">
        <v>1.3</v>
      </c>
      <c r="I96" s="26">
        <v>0.5</v>
      </c>
      <c r="J96" s="24">
        <v>17</v>
      </c>
      <c r="K96" s="24">
        <v>8</v>
      </c>
      <c r="L96" s="24">
        <v>176</v>
      </c>
      <c r="M96" s="26">
        <f>L96/D96</f>
        <v>2.7936507936507935</v>
      </c>
    </row>
    <row r="98" spans="2:14" ht="15" customHeight="1">
      <c r="B98" s="30" t="s">
        <v>180</v>
      </c>
    </row>
    <row r="99" spans="2:14" ht="15" customHeight="1">
      <c r="B99" s="19" t="s">
        <v>2</v>
      </c>
      <c r="C99" s="20" t="s">
        <v>3</v>
      </c>
      <c r="D99" s="21" t="s">
        <v>4</v>
      </c>
      <c r="E99" s="22" t="s">
        <v>5</v>
      </c>
      <c r="F99" s="22" t="s">
        <v>6</v>
      </c>
      <c r="G99" s="21" t="s">
        <v>7</v>
      </c>
      <c r="H99" s="23" t="s">
        <v>8</v>
      </c>
      <c r="I99" s="23" t="s">
        <v>9</v>
      </c>
      <c r="J99" s="21" t="s">
        <v>10</v>
      </c>
      <c r="K99" s="21" t="s">
        <v>11</v>
      </c>
      <c r="L99" s="21" t="s">
        <v>12</v>
      </c>
      <c r="M99" s="23" t="s">
        <v>13</v>
      </c>
      <c r="N99" s="8"/>
    </row>
    <row r="100" spans="2:14" ht="15" customHeight="1">
      <c r="B100" s="24">
        <v>2024</v>
      </c>
      <c r="C100" s="18" t="s">
        <v>90</v>
      </c>
      <c r="D100" s="24">
        <v>37</v>
      </c>
      <c r="E100" s="25">
        <v>0.36</v>
      </c>
      <c r="F100" s="25">
        <v>0.88100000000000001</v>
      </c>
      <c r="G100" s="24">
        <v>59</v>
      </c>
      <c r="H100" s="26">
        <v>4.5</v>
      </c>
      <c r="I100" s="26">
        <v>3.6</v>
      </c>
      <c r="J100" s="24">
        <v>52</v>
      </c>
      <c r="K100" s="24">
        <v>8</v>
      </c>
      <c r="L100" s="24">
        <v>729</v>
      </c>
      <c r="M100" s="26">
        <f>L100/D100</f>
        <v>19.702702702702702</v>
      </c>
      <c r="N100" s="12"/>
    </row>
    <row r="101" spans="2:14" ht="15" customHeight="1">
      <c r="B101" s="27" t="s">
        <v>15</v>
      </c>
      <c r="C101" s="18" t="s">
        <v>20</v>
      </c>
      <c r="D101" s="24">
        <v>327</v>
      </c>
      <c r="E101" s="25">
        <v>0.40200000000000002</v>
      </c>
      <c r="F101" s="25">
        <v>0.88400000000000001</v>
      </c>
      <c r="G101" s="24">
        <v>567</v>
      </c>
      <c r="H101" s="26">
        <v>3.6</v>
      </c>
      <c r="I101" s="26">
        <v>3.2</v>
      </c>
      <c r="J101" s="24">
        <v>389</v>
      </c>
      <c r="K101" s="24">
        <v>80</v>
      </c>
      <c r="L101" s="24">
        <v>5536</v>
      </c>
      <c r="M101" s="26">
        <f>L101/D101</f>
        <v>16.929663608562691</v>
      </c>
      <c r="N101" s="12"/>
    </row>
    <row r="102" spans="2:14" ht="15" customHeight="1">
      <c r="D102" s="14"/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101"/>
  <sheetViews>
    <sheetView zoomScale="120" zoomScaleNormal="120" workbookViewId="0">
      <selection activeCell="B78" sqref="B78"/>
    </sheetView>
  </sheetViews>
  <sheetFormatPr defaultColWidth="45" defaultRowHeight="15" customHeight="1"/>
  <cols>
    <col min="1" max="1" width="2.7109375" style="1" customWidth="1"/>
    <col min="2" max="2" width="17.7109375" style="13" bestFit="1" customWidth="1"/>
    <col min="3" max="3" width="19.140625" style="1" bestFit="1" customWidth="1"/>
    <col min="4" max="4" width="4.28515625" style="1" customWidth="1"/>
    <col min="5" max="5" width="7.42578125" style="2" bestFit="1" customWidth="1"/>
    <col min="6" max="6" width="4.85546875" style="2" bestFit="1" customWidth="1"/>
    <col min="7" max="7" width="4.42578125" style="1" bestFit="1" customWidth="1"/>
    <col min="8" max="8" width="4.140625" style="3" bestFit="1" customWidth="1"/>
    <col min="9" max="9" width="4.28515625" style="3" bestFit="1" customWidth="1"/>
    <col min="10" max="10" width="5.140625" style="1" customWidth="1"/>
    <col min="11" max="11" width="4.42578125" style="1" bestFit="1" customWidth="1"/>
    <col min="12" max="12" width="5.28515625" style="1" bestFit="1" customWidth="1"/>
    <col min="13" max="13" width="4.42578125" style="3" bestFit="1" customWidth="1"/>
    <col min="14" max="14" width="4.42578125" style="3" customWidth="1"/>
    <col min="15" max="16384" width="45" style="1"/>
  </cols>
  <sheetData>
    <row r="1" spans="2:14" ht="15" customHeight="1">
      <c r="B1" s="33" t="s">
        <v>181</v>
      </c>
    </row>
    <row r="2" spans="2:14" ht="15" customHeight="1">
      <c r="D2" s="14"/>
    </row>
    <row r="3" spans="2:14" ht="15" customHeight="1">
      <c r="B3" s="30" t="s">
        <v>182</v>
      </c>
    </row>
    <row r="4" spans="2:14" ht="15" customHeight="1">
      <c r="B4" s="19" t="s">
        <v>2</v>
      </c>
      <c r="C4" s="20" t="s">
        <v>3</v>
      </c>
      <c r="D4" s="21" t="s">
        <v>4</v>
      </c>
      <c r="E4" s="22" t="s">
        <v>5</v>
      </c>
      <c r="F4" s="22" t="s">
        <v>6</v>
      </c>
      <c r="G4" s="21" t="s">
        <v>7</v>
      </c>
      <c r="H4" s="23" t="s">
        <v>8</v>
      </c>
      <c r="I4" s="23" t="s">
        <v>9</v>
      </c>
      <c r="J4" s="21" t="s">
        <v>10</v>
      </c>
      <c r="K4" s="21" t="s">
        <v>11</v>
      </c>
      <c r="L4" s="21" t="s">
        <v>12</v>
      </c>
      <c r="M4" s="23" t="s">
        <v>13</v>
      </c>
      <c r="N4" s="8"/>
    </row>
    <row r="5" spans="2:14" ht="15" customHeight="1">
      <c r="B5" s="24">
        <v>2019</v>
      </c>
      <c r="C5" s="18" t="s">
        <v>22</v>
      </c>
      <c r="D5" s="24">
        <v>15</v>
      </c>
      <c r="E5" s="25">
        <v>0.49</v>
      </c>
      <c r="F5" s="25">
        <v>0.76900000000000002</v>
      </c>
      <c r="G5" s="24">
        <v>5</v>
      </c>
      <c r="H5" s="26">
        <v>3.9</v>
      </c>
      <c r="I5" s="26">
        <v>0.7</v>
      </c>
      <c r="J5" s="24">
        <v>15</v>
      </c>
      <c r="K5" s="24">
        <v>3</v>
      </c>
      <c r="L5" s="24">
        <v>117</v>
      </c>
      <c r="M5" s="26">
        <f>L5/D5</f>
        <v>7.8</v>
      </c>
      <c r="N5" s="12"/>
    </row>
    <row r="6" spans="2:14" ht="15" customHeight="1">
      <c r="B6" s="27" t="s">
        <v>15</v>
      </c>
      <c r="C6" s="18" t="s">
        <v>38</v>
      </c>
      <c r="D6" s="24">
        <v>40</v>
      </c>
      <c r="E6" s="25">
        <v>0.50600000000000001</v>
      </c>
      <c r="F6" s="25">
        <v>0.76</v>
      </c>
      <c r="G6" s="24">
        <v>9</v>
      </c>
      <c r="H6" s="26">
        <v>2.8</v>
      </c>
      <c r="I6" s="26">
        <v>0.5</v>
      </c>
      <c r="J6" s="24">
        <v>24</v>
      </c>
      <c r="K6" s="24">
        <v>14</v>
      </c>
      <c r="L6" s="24">
        <v>208</v>
      </c>
      <c r="M6" s="26">
        <f>L6/D6</f>
        <v>5.2</v>
      </c>
      <c r="N6" s="12"/>
    </row>
    <row r="7" spans="2:14" ht="15" customHeight="1">
      <c r="B7" s="4"/>
      <c r="C7" s="5"/>
      <c r="D7" s="6"/>
      <c r="E7" s="7"/>
      <c r="F7" s="7"/>
      <c r="G7" s="6"/>
      <c r="H7" s="8"/>
      <c r="I7" s="8"/>
      <c r="J7" s="6"/>
      <c r="K7" s="6"/>
      <c r="L7" s="6"/>
      <c r="M7" s="8"/>
      <c r="N7" s="8"/>
    </row>
    <row r="8" spans="2:14" ht="15" customHeight="1">
      <c r="B8" s="30" t="s">
        <v>183</v>
      </c>
    </row>
    <row r="9" spans="2:14" ht="15" customHeight="1">
      <c r="B9" s="19" t="s">
        <v>2</v>
      </c>
      <c r="C9" s="20" t="s">
        <v>3</v>
      </c>
      <c r="D9" s="21" t="s">
        <v>4</v>
      </c>
      <c r="E9" s="22" t="s">
        <v>5</v>
      </c>
      <c r="F9" s="22" t="s">
        <v>6</v>
      </c>
      <c r="G9" s="21" t="s">
        <v>7</v>
      </c>
      <c r="H9" s="23" t="s">
        <v>8</v>
      </c>
      <c r="I9" s="23" t="s">
        <v>9</v>
      </c>
      <c r="J9" s="21" t="s">
        <v>10</v>
      </c>
      <c r="K9" s="21" t="s">
        <v>11</v>
      </c>
      <c r="L9" s="21" t="s">
        <v>12</v>
      </c>
      <c r="M9" s="23" t="s">
        <v>13</v>
      </c>
      <c r="N9" s="8"/>
    </row>
    <row r="10" spans="2:14" ht="15" customHeight="1">
      <c r="B10" s="24">
        <v>2023</v>
      </c>
      <c r="C10" s="18" t="s">
        <v>22</v>
      </c>
      <c r="D10" s="24">
        <v>10</v>
      </c>
      <c r="E10" s="25">
        <v>0.43</v>
      </c>
      <c r="F10" s="25">
        <v>0.71399999999999997</v>
      </c>
      <c r="G10" s="24">
        <v>1</v>
      </c>
      <c r="H10" s="26">
        <v>4.3</v>
      </c>
      <c r="I10" s="26">
        <v>1.3</v>
      </c>
      <c r="J10" s="24">
        <v>13</v>
      </c>
      <c r="K10" s="24">
        <v>3</v>
      </c>
      <c r="L10" s="24">
        <v>84</v>
      </c>
      <c r="M10" s="26">
        <f>L10/D10</f>
        <v>8.4</v>
      </c>
      <c r="N10" s="12"/>
    </row>
    <row r="11" spans="2:14" ht="15" customHeight="1">
      <c r="B11" s="27" t="s">
        <v>15</v>
      </c>
      <c r="C11" s="18" t="s">
        <v>18</v>
      </c>
      <c r="D11" s="24">
        <v>170</v>
      </c>
      <c r="E11" s="25">
        <v>0.53500000000000003</v>
      </c>
      <c r="F11" s="25">
        <v>0.74099999999999999</v>
      </c>
      <c r="G11" s="24">
        <v>14</v>
      </c>
      <c r="H11" s="26">
        <v>4.3</v>
      </c>
      <c r="I11" s="26">
        <v>1.3</v>
      </c>
      <c r="J11" s="24">
        <v>175</v>
      </c>
      <c r="K11" s="24">
        <v>127</v>
      </c>
      <c r="L11" s="24">
        <v>1964</v>
      </c>
      <c r="M11" s="26">
        <f>L11/D11</f>
        <v>11.552941176470588</v>
      </c>
      <c r="N11" s="12"/>
    </row>
    <row r="12" spans="2:14" s="28" customFormat="1" ht="15" customHeight="1">
      <c r="B12" s="9"/>
      <c r="C12" s="1"/>
      <c r="D12" s="10"/>
      <c r="E12" s="11"/>
      <c r="F12" s="11"/>
      <c r="G12" s="10"/>
      <c r="H12" s="12"/>
      <c r="I12" s="12"/>
      <c r="J12" s="10"/>
      <c r="K12" s="10"/>
      <c r="L12" s="10"/>
      <c r="M12" s="12"/>
      <c r="N12" s="12"/>
    </row>
    <row r="13" spans="2:14" ht="15" customHeight="1">
      <c r="B13" s="30" t="s">
        <v>184</v>
      </c>
    </row>
    <row r="14" spans="2:14" ht="15" customHeight="1">
      <c r="B14" s="19" t="s">
        <v>2</v>
      </c>
      <c r="C14" s="20" t="s">
        <v>3</v>
      </c>
      <c r="D14" s="21" t="s">
        <v>4</v>
      </c>
      <c r="E14" s="22" t="s">
        <v>5</v>
      </c>
      <c r="F14" s="22" t="s">
        <v>6</v>
      </c>
      <c r="G14" s="21" t="s">
        <v>7</v>
      </c>
      <c r="H14" s="23" t="s">
        <v>8</v>
      </c>
      <c r="I14" s="23" t="s">
        <v>9</v>
      </c>
      <c r="J14" s="21" t="s">
        <v>10</v>
      </c>
      <c r="K14" s="21" t="s">
        <v>11</v>
      </c>
      <c r="L14" s="21" t="s">
        <v>12</v>
      </c>
      <c r="M14" s="23" t="s">
        <v>13</v>
      </c>
      <c r="N14" s="8"/>
    </row>
    <row r="15" spans="2:14" ht="15" customHeight="1">
      <c r="B15" s="24">
        <v>2020</v>
      </c>
      <c r="C15" s="18" t="s">
        <v>22</v>
      </c>
      <c r="D15" s="24">
        <v>17</v>
      </c>
      <c r="E15" s="25">
        <v>0.26700000000000002</v>
      </c>
      <c r="F15" s="25">
        <v>0.73099999999999998</v>
      </c>
      <c r="G15" s="24">
        <v>6</v>
      </c>
      <c r="H15" s="26">
        <v>2.1</v>
      </c>
      <c r="I15" s="26">
        <v>0.9</v>
      </c>
      <c r="J15" s="24">
        <v>11</v>
      </c>
      <c r="K15" s="24">
        <v>3</v>
      </c>
      <c r="L15" s="24">
        <v>49</v>
      </c>
      <c r="M15" s="26">
        <f>L15/D15</f>
        <v>2.8823529411764706</v>
      </c>
      <c r="N15" s="12"/>
    </row>
    <row r="16" spans="2:14" ht="15" customHeight="1">
      <c r="B16" s="27" t="s">
        <v>15</v>
      </c>
      <c r="C16" s="18" t="s">
        <v>25</v>
      </c>
      <c r="D16" s="24">
        <v>250</v>
      </c>
      <c r="E16" s="25">
        <v>0.35699999999999998</v>
      </c>
      <c r="F16" s="25">
        <v>0.76800000000000002</v>
      </c>
      <c r="G16" s="24">
        <v>83</v>
      </c>
      <c r="H16" s="26">
        <v>3.2</v>
      </c>
      <c r="I16" s="26">
        <v>1.7</v>
      </c>
      <c r="J16" s="24">
        <v>194</v>
      </c>
      <c r="K16" s="24">
        <v>77</v>
      </c>
      <c r="L16" s="24">
        <v>1456</v>
      </c>
      <c r="M16" s="26">
        <f>L16/D16</f>
        <v>5.8239999999999998</v>
      </c>
      <c r="N16" s="12"/>
    </row>
    <row r="18" spans="2:14" ht="15" customHeight="1">
      <c r="B18" s="30" t="s">
        <v>185</v>
      </c>
    </row>
    <row r="19" spans="2:14" ht="15" customHeight="1">
      <c r="B19" s="19" t="s">
        <v>2</v>
      </c>
      <c r="C19" s="20" t="s">
        <v>3</v>
      </c>
      <c r="D19" s="21" t="s">
        <v>4</v>
      </c>
      <c r="E19" s="22" t="s">
        <v>5</v>
      </c>
      <c r="F19" s="22" t="s">
        <v>6</v>
      </c>
      <c r="G19" s="21" t="s">
        <v>7</v>
      </c>
      <c r="H19" s="23" t="s">
        <v>8</v>
      </c>
      <c r="I19" s="23" t="s">
        <v>9</v>
      </c>
      <c r="J19" s="21" t="s">
        <v>10</v>
      </c>
      <c r="K19" s="21" t="s">
        <v>11</v>
      </c>
      <c r="L19" s="21" t="s">
        <v>12</v>
      </c>
      <c r="M19" s="23" t="s">
        <v>13</v>
      </c>
      <c r="N19" s="8"/>
    </row>
    <row r="20" spans="2:14" ht="15" customHeight="1">
      <c r="B20" s="24">
        <v>2020</v>
      </c>
      <c r="C20" s="18" t="s">
        <v>85</v>
      </c>
      <c r="D20" s="24">
        <v>18</v>
      </c>
      <c r="E20" s="25">
        <v>0.35699999999999998</v>
      </c>
      <c r="F20" s="25">
        <v>0.66700000000000004</v>
      </c>
      <c r="G20" s="24">
        <v>10</v>
      </c>
      <c r="H20" s="26">
        <v>1.8</v>
      </c>
      <c r="I20" s="26">
        <v>1.1000000000000001</v>
      </c>
      <c r="J20" s="24">
        <v>13</v>
      </c>
      <c r="K20" s="24">
        <v>5</v>
      </c>
      <c r="L20" s="24">
        <v>88</v>
      </c>
      <c r="M20" s="26">
        <f>L20/D20</f>
        <v>4.8888888888888893</v>
      </c>
      <c r="N20" s="12"/>
    </row>
    <row r="21" spans="2:14" ht="15" customHeight="1">
      <c r="B21" s="27" t="s">
        <v>15</v>
      </c>
      <c r="C21" s="18" t="s">
        <v>31</v>
      </c>
      <c r="D21" s="24">
        <v>117</v>
      </c>
      <c r="E21" s="25">
        <v>0.39700000000000002</v>
      </c>
      <c r="F21" s="25">
        <v>0.68799999999999994</v>
      </c>
      <c r="G21" s="24">
        <v>57</v>
      </c>
      <c r="H21" s="26">
        <v>2.2000000000000002</v>
      </c>
      <c r="I21" s="26">
        <v>1.3</v>
      </c>
      <c r="J21" s="24">
        <v>82</v>
      </c>
      <c r="K21" s="24">
        <v>24</v>
      </c>
      <c r="L21" s="24">
        <v>797</v>
      </c>
      <c r="M21" s="26">
        <f>L21/D21</f>
        <v>6.8119658119658117</v>
      </c>
      <c r="N21" s="12"/>
    </row>
    <row r="22" spans="2:14" ht="15" customHeight="1">
      <c r="B22" s="4"/>
      <c r="C22" s="5"/>
      <c r="D22" s="6"/>
      <c r="E22" s="7"/>
      <c r="F22" s="7"/>
      <c r="G22" s="6"/>
      <c r="H22" s="8"/>
      <c r="I22" s="8"/>
      <c r="J22" s="6"/>
      <c r="K22" s="6"/>
      <c r="L22" s="6"/>
      <c r="M22" s="8"/>
      <c r="N22" s="8"/>
    </row>
    <row r="23" spans="2:14" ht="15" customHeight="1">
      <c r="B23" s="30" t="s">
        <v>186</v>
      </c>
    </row>
    <row r="24" spans="2:14" ht="15" customHeight="1">
      <c r="B24" s="19" t="s">
        <v>2</v>
      </c>
      <c r="C24" s="20" t="s">
        <v>3</v>
      </c>
      <c r="D24" s="21" t="s">
        <v>4</v>
      </c>
      <c r="E24" s="22" t="s">
        <v>5</v>
      </c>
      <c r="F24" s="22" t="s">
        <v>6</v>
      </c>
      <c r="G24" s="21" t="s">
        <v>7</v>
      </c>
      <c r="H24" s="23" t="s">
        <v>8</v>
      </c>
      <c r="I24" s="23" t="s">
        <v>9</v>
      </c>
      <c r="J24" s="21" t="s">
        <v>10</v>
      </c>
      <c r="K24" s="21" t="s">
        <v>11</v>
      </c>
      <c r="L24" s="21" t="s">
        <v>12</v>
      </c>
      <c r="M24" s="23" t="s">
        <v>13</v>
      </c>
      <c r="N24" s="8"/>
    </row>
    <row r="25" spans="2:14" ht="15" customHeight="1">
      <c r="B25" s="24">
        <v>2021</v>
      </c>
      <c r="C25" s="18" t="s">
        <v>22</v>
      </c>
      <c r="D25" s="24">
        <v>30</v>
      </c>
      <c r="E25" s="25">
        <v>0.42899999999999999</v>
      </c>
      <c r="F25" s="25">
        <v>0.76700000000000002</v>
      </c>
      <c r="G25" s="24">
        <v>30</v>
      </c>
      <c r="H25" s="26">
        <v>5.0999999999999996</v>
      </c>
      <c r="I25" s="26">
        <v>1</v>
      </c>
      <c r="J25" s="24">
        <v>18</v>
      </c>
      <c r="K25" s="24">
        <v>35</v>
      </c>
      <c r="L25" s="24">
        <v>275</v>
      </c>
      <c r="M25" s="26">
        <f>L25/D25</f>
        <v>9.1666666666666661</v>
      </c>
      <c r="N25" s="12"/>
    </row>
    <row r="26" spans="2:14" ht="15" customHeight="1">
      <c r="B26" s="27" t="s">
        <v>15</v>
      </c>
      <c r="C26" s="18" t="s">
        <v>18</v>
      </c>
      <c r="D26" s="24">
        <v>197</v>
      </c>
      <c r="E26" s="25">
        <v>0.42799999999999999</v>
      </c>
      <c r="F26" s="25">
        <v>0.74299999999999999</v>
      </c>
      <c r="G26" s="24">
        <v>124</v>
      </c>
      <c r="H26" s="26">
        <v>4</v>
      </c>
      <c r="I26" s="26">
        <v>0.7</v>
      </c>
      <c r="J26" s="24">
        <v>97</v>
      </c>
      <c r="K26" s="24">
        <v>153</v>
      </c>
      <c r="L26" s="24">
        <v>1228</v>
      </c>
      <c r="M26" s="26">
        <f>L26/D26</f>
        <v>6.2335025380710656</v>
      </c>
      <c r="N26" s="12"/>
    </row>
    <row r="27" spans="2:14" ht="15" customHeight="1">
      <c r="B27" s="9"/>
      <c r="D27" s="10"/>
      <c r="E27" s="11"/>
      <c r="F27" s="11"/>
      <c r="G27" s="10"/>
      <c r="H27" s="12"/>
      <c r="I27" s="12"/>
      <c r="J27" s="10"/>
      <c r="K27" s="10"/>
      <c r="L27" s="10"/>
      <c r="M27" s="12"/>
      <c r="N27" s="12"/>
    </row>
    <row r="28" spans="2:14" ht="15" customHeight="1">
      <c r="B28" s="30" t="s">
        <v>187</v>
      </c>
    </row>
    <row r="29" spans="2:14" ht="15" customHeight="1">
      <c r="B29" s="19" t="s">
        <v>2</v>
      </c>
      <c r="C29" s="20" t="s">
        <v>3</v>
      </c>
      <c r="D29" s="21" t="s">
        <v>4</v>
      </c>
      <c r="E29" s="22" t="s">
        <v>5</v>
      </c>
      <c r="F29" s="22" t="s">
        <v>6</v>
      </c>
      <c r="G29" s="21" t="s">
        <v>7</v>
      </c>
      <c r="H29" s="23" t="s">
        <v>8</v>
      </c>
      <c r="I29" s="23" t="s">
        <v>9</v>
      </c>
      <c r="J29" s="21" t="s">
        <v>10</v>
      </c>
      <c r="K29" s="21" t="s">
        <v>11</v>
      </c>
      <c r="L29" s="21" t="s">
        <v>12</v>
      </c>
      <c r="M29" s="23" t="s">
        <v>13</v>
      </c>
      <c r="N29" s="8"/>
    </row>
    <row r="30" spans="2:14" ht="15" customHeight="1">
      <c r="B30" s="24">
        <v>2021</v>
      </c>
      <c r="C30" s="18" t="s">
        <v>22</v>
      </c>
      <c r="D30" s="24">
        <v>25</v>
      </c>
      <c r="E30" s="25">
        <v>0.27400000000000002</v>
      </c>
      <c r="F30" s="25">
        <v>0.80800000000000005</v>
      </c>
      <c r="G30" s="24">
        <v>6</v>
      </c>
      <c r="H30" s="26">
        <v>1.3</v>
      </c>
      <c r="I30" s="26">
        <v>0.6</v>
      </c>
      <c r="J30" s="24">
        <v>8</v>
      </c>
      <c r="K30" s="24">
        <v>4</v>
      </c>
      <c r="L30" s="24">
        <v>79</v>
      </c>
      <c r="M30" s="26">
        <f>L30/D30</f>
        <v>3.16</v>
      </c>
      <c r="N30" s="12"/>
    </row>
    <row r="31" spans="2:14" ht="15" customHeight="1">
      <c r="B31" s="27" t="s">
        <v>15</v>
      </c>
      <c r="C31" s="18" t="s">
        <v>40</v>
      </c>
      <c r="D31" s="24">
        <v>25</v>
      </c>
      <c r="E31" s="25">
        <v>0.27400000000000002</v>
      </c>
      <c r="F31" s="25">
        <v>0.80800000000000005</v>
      </c>
      <c r="G31" s="24">
        <v>6</v>
      </c>
      <c r="H31" s="26">
        <v>1.3</v>
      </c>
      <c r="I31" s="26">
        <v>0.6</v>
      </c>
      <c r="J31" s="24">
        <v>8</v>
      </c>
      <c r="K31" s="24">
        <v>4</v>
      </c>
      <c r="L31" s="24">
        <v>79</v>
      </c>
      <c r="M31" s="26">
        <f>L31/D31</f>
        <v>3.16</v>
      </c>
      <c r="N31" s="12"/>
    </row>
    <row r="32" spans="2:14" s="28" customFormat="1" ht="15" customHeight="1">
      <c r="B32" s="9"/>
      <c r="C32" s="1"/>
      <c r="D32" s="10"/>
      <c r="E32" s="11"/>
      <c r="F32" s="11"/>
      <c r="G32" s="10"/>
      <c r="H32" s="12"/>
      <c r="I32" s="12"/>
      <c r="J32" s="10"/>
      <c r="K32" s="10"/>
      <c r="L32" s="10"/>
      <c r="M32" s="12"/>
      <c r="N32" s="12"/>
    </row>
    <row r="33" spans="2:14" ht="15" customHeight="1">
      <c r="B33" s="30" t="s">
        <v>188</v>
      </c>
    </row>
    <row r="34" spans="2:14" ht="15" customHeight="1">
      <c r="B34" s="19" t="s">
        <v>2</v>
      </c>
      <c r="C34" s="20" t="s">
        <v>3</v>
      </c>
      <c r="D34" s="21" t="s">
        <v>4</v>
      </c>
      <c r="E34" s="22" t="s">
        <v>5</v>
      </c>
      <c r="F34" s="22" t="s">
        <v>6</v>
      </c>
      <c r="G34" s="21" t="s">
        <v>7</v>
      </c>
      <c r="H34" s="23" t="s">
        <v>8</v>
      </c>
      <c r="I34" s="23" t="s">
        <v>9</v>
      </c>
      <c r="J34" s="21" t="s">
        <v>10</v>
      </c>
      <c r="K34" s="21" t="s">
        <v>11</v>
      </c>
      <c r="L34" s="21" t="s">
        <v>12</v>
      </c>
      <c r="M34" s="23" t="s">
        <v>13</v>
      </c>
      <c r="N34" s="8"/>
    </row>
    <row r="35" spans="2:14" ht="15" customHeight="1">
      <c r="B35" s="24">
        <v>2021</v>
      </c>
      <c r="C35" s="18" t="s">
        <v>189</v>
      </c>
      <c r="D35" s="24">
        <v>26</v>
      </c>
      <c r="E35" s="25">
        <v>0.38500000000000001</v>
      </c>
      <c r="F35" s="25">
        <v>0.8</v>
      </c>
      <c r="G35" s="24">
        <v>2</v>
      </c>
      <c r="H35" s="26">
        <v>3</v>
      </c>
      <c r="I35" s="26">
        <v>0.5</v>
      </c>
      <c r="J35" s="24">
        <v>14</v>
      </c>
      <c r="K35" s="24">
        <v>16</v>
      </c>
      <c r="L35" s="24">
        <v>68</v>
      </c>
      <c r="M35" s="26">
        <f>L35/D35</f>
        <v>2.6153846153846154</v>
      </c>
      <c r="N35" s="12"/>
    </row>
    <row r="36" spans="2:14" ht="15" customHeight="1">
      <c r="B36" s="27" t="s">
        <v>15</v>
      </c>
      <c r="C36" s="18" t="s">
        <v>38</v>
      </c>
      <c r="D36" s="24">
        <v>40</v>
      </c>
      <c r="E36" s="25">
        <v>0.39800000000000002</v>
      </c>
      <c r="F36" s="25">
        <v>0.77100000000000002</v>
      </c>
      <c r="G36" s="24">
        <v>5</v>
      </c>
      <c r="H36" s="26">
        <v>3.1</v>
      </c>
      <c r="I36" s="26">
        <v>0.8</v>
      </c>
      <c r="J36" s="24">
        <v>20</v>
      </c>
      <c r="K36" s="24">
        <v>20</v>
      </c>
      <c r="L36" s="24">
        <v>118</v>
      </c>
      <c r="M36" s="26">
        <f>L36/D36</f>
        <v>2.95</v>
      </c>
      <c r="N36" s="12"/>
    </row>
    <row r="37" spans="2:14" ht="15" customHeight="1">
      <c r="D37" s="14"/>
    </row>
    <row r="38" spans="2:14" ht="15" customHeight="1">
      <c r="B38" s="30" t="s">
        <v>190</v>
      </c>
    </row>
    <row r="39" spans="2:14" ht="15" customHeight="1">
      <c r="B39" s="19" t="s">
        <v>2</v>
      </c>
      <c r="C39" s="20" t="s">
        <v>3</v>
      </c>
      <c r="D39" s="21" t="s">
        <v>4</v>
      </c>
      <c r="E39" s="22" t="s">
        <v>5</v>
      </c>
      <c r="F39" s="22" t="s">
        <v>6</v>
      </c>
      <c r="G39" s="21" t="s">
        <v>7</v>
      </c>
      <c r="H39" s="23" t="s">
        <v>8</v>
      </c>
      <c r="I39" s="23" t="s">
        <v>9</v>
      </c>
      <c r="J39" s="21" t="s">
        <v>10</v>
      </c>
      <c r="K39" s="21" t="s">
        <v>11</v>
      </c>
      <c r="L39" s="21" t="s">
        <v>12</v>
      </c>
      <c r="M39" s="23" t="s">
        <v>13</v>
      </c>
      <c r="N39" s="8"/>
    </row>
    <row r="40" spans="2:14" ht="15" customHeight="1">
      <c r="B40" s="24">
        <v>2024</v>
      </c>
      <c r="C40" s="18" t="s">
        <v>22</v>
      </c>
      <c r="D40" s="24">
        <v>16</v>
      </c>
      <c r="E40" s="25">
        <v>0.32100000000000001</v>
      </c>
      <c r="F40" s="25">
        <v>0.88900000000000001</v>
      </c>
      <c r="G40" s="24">
        <v>21</v>
      </c>
      <c r="H40" s="26">
        <v>2.2999999999999998</v>
      </c>
      <c r="I40" s="26">
        <v>3.3</v>
      </c>
      <c r="J40" s="24">
        <v>17</v>
      </c>
      <c r="K40" s="24">
        <v>2</v>
      </c>
      <c r="L40" s="24">
        <v>129</v>
      </c>
      <c r="M40" s="26">
        <f>L40/D40</f>
        <v>8.0625</v>
      </c>
      <c r="N40" s="12"/>
    </row>
    <row r="41" spans="2:14" ht="15" customHeight="1">
      <c r="B41" s="27" t="s">
        <v>15</v>
      </c>
      <c r="C41" s="18" t="s">
        <v>18</v>
      </c>
      <c r="D41" s="24">
        <v>151</v>
      </c>
      <c r="E41" s="25">
        <v>0.38900000000000001</v>
      </c>
      <c r="F41" s="25">
        <v>0.80500000000000005</v>
      </c>
      <c r="G41" s="24">
        <v>184</v>
      </c>
      <c r="H41" s="26">
        <v>1.6</v>
      </c>
      <c r="I41" s="26">
        <v>1.8</v>
      </c>
      <c r="J41" s="24">
        <v>137</v>
      </c>
      <c r="K41" s="24">
        <v>14</v>
      </c>
      <c r="L41" s="24">
        <v>945</v>
      </c>
      <c r="M41" s="26">
        <f>L41/D41</f>
        <v>6.258278145695364</v>
      </c>
      <c r="N41" s="12"/>
    </row>
    <row r="42" spans="2:14" ht="15" customHeight="1">
      <c r="B42" s="29"/>
    </row>
    <row r="43" spans="2:14" ht="15" customHeight="1">
      <c r="B43" s="30" t="s">
        <v>191</v>
      </c>
    </row>
    <row r="44" spans="2:14" ht="15" customHeight="1">
      <c r="B44" s="19" t="s">
        <v>2</v>
      </c>
      <c r="C44" s="20" t="s">
        <v>3</v>
      </c>
      <c r="D44" s="21" t="s">
        <v>4</v>
      </c>
      <c r="E44" s="22" t="s">
        <v>5</v>
      </c>
      <c r="F44" s="22" t="s">
        <v>6</v>
      </c>
      <c r="G44" s="21" t="s">
        <v>7</v>
      </c>
      <c r="H44" s="23" t="s">
        <v>8</v>
      </c>
      <c r="I44" s="23" t="s">
        <v>9</v>
      </c>
      <c r="J44" s="21" t="s">
        <v>10</v>
      </c>
      <c r="K44" s="21" t="s">
        <v>11</v>
      </c>
      <c r="L44" s="21" t="s">
        <v>12</v>
      </c>
      <c r="M44" s="23" t="s">
        <v>13</v>
      </c>
      <c r="N44" s="8"/>
    </row>
    <row r="45" spans="2:14" ht="15" customHeight="1">
      <c r="B45" s="24">
        <v>2022</v>
      </c>
      <c r="C45" s="18" t="s">
        <v>85</v>
      </c>
      <c r="D45" s="24">
        <v>5</v>
      </c>
      <c r="E45" s="25">
        <v>0.26700000000000002</v>
      </c>
      <c r="F45" s="25">
        <v>0.92300000000000004</v>
      </c>
      <c r="G45" s="24">
        <v>5</v>
      </c>
      <c r="H45" s="26">
        <v>2.2000000000000002</v>
      </c>
      <c r="I45" s="26">
        <v>3</v>
      </c>
      <c r="J45" s="24">
        <v>3</v>
      </c>
      <c r="K45" s="24">
        <v>1</v>
      </c>
      <c r="L45" s="24">
        <v>33</v>
      </c>
      <c r="M45" s="26">
        <f>L45/D45</f>
        <v>6.6</v>
      </c>
      <c r="N45" s="12"/>
    </row>
    <row r="46" spans="2:14" ht="15" customHeight="1">
      <c r="B46" s="27" t="s">
        <v>15</v>
      </c>
      <c r="C46" s="18" t="s">
        <v>162</v>
      </c>
      <c r="D46" s="24">
        <v>358</v>
      </c>
      <c r="E46" s="25">
        <v>0.38</v>
      </c>
      <c r="F46" s="25">
        <v>0.79500000000000004</v>
      </c>
      <c r="G46" s="24">
        <v>361</v>
      </c>
      <c r="H46" s="26">
        <v>2.8</v>
      </c>
      <c r="I46" s="26">
        <v>3.7</v>
      </c>
      <c r="J46" s="24">
        <v>385</v>
      </c>
      <c r="K46" s="24">
        <v>85</v>
      </c>
      <c r="L46" s="24">
        <v>3437</v>
      </c>
      <c r="M46" s="26">
        <f>L46/D46</f>
        <v>9.6005586592178762</v>
      </c>
      <c r="N46" s="12"/>
    </row>
    <row r="47" spans="2:14" ht="15" customHeight="1">
      <c r="D47" s="14"/>
    </row>
    <row r="48" spans="2:14" ht="15" customHeight="1">
      <c r="B48" s="30" t="s">
        <v>192</v>
      </c>
    </row>
    <row r="49" spans="2:14" ht="15" customHeight="1">
      <c r="B49" s="19" t="s">
        <v>2</v>
      </c>
      <c r="C49" s="20" t="s">
        <v>3</v>
      </c>
      <c r="D49" s="21" t="s">
        <v>4</v>
      </c>
      <c r="E49" s="22" t="s">
        <v>5</v>
      </c>
      <c r="F49" s="22" t="s">
        <v>6</v>
      </c>
      <c r="G49" s="21" t="s">
        <v>7</v>
      </c>
      <c r="H49" s="23" t="s">
        <v>8</v>
      </c>
      <c r="I49" s="23" t="s">
        <v>9</v>
      </c>
      <c r="J49" s="21" t="s">
        <v>10</v>
      </c>
      <c r="K49" s="21" t="s">
        <v>11</v>
      </c>
      <c r="L49" s="21" t="s">
        <v>12</v>
      </c>
      <c r="M49" s="23" t="s">
        <v>13</v>
      </c>
      <c r="N49" s="8"/>
    </row>
    <row r="50" spans="2:14" ht="15" customHeight="1">
      <c r="B50" s="24">
        <v>2022</v>
      </c>
      <c r="C50" s="18" t="s">
        <v>90</v>
      </c>
      <c r="D50" s="24">
        <v>34</v>
      </c>
      <c r="E50" s="25">
        <v>0.46400000000000002</v>
      </c>
      <c r="F50" s="25">
        <v>0.58299999999999996</v>
      </c>
      <c r="G50" s="24">
        <v>29</v>
      </c>
      <c r="H50" s="26">
        <v>3.1</v>
      </c>
      <c r="I50" s="26">
        <v>1.3</v>
      </c>
      <c r="J50" s="24">
        <v>24</v>
      </c>
      <c r="K50" s="24">
        <v>11</v>
      </c>
      <c r="L50" s="24">
        <v>171</v>
      </c>
      <c r="M50" s="26">
        <f>L50/D50</f>
        <v>5.0294117647058822</v>
      </c>
      <c r="N50" s="12"/>
    </row>
    <row r="51" spans="2:14" ht="15" customHeight="1">
      <c r="B51" s="27" t="s">
        <v>15</v>
      </c>
      <c r="C51" s="18" t="s">
        <v>33</v>
      </c>
      <c r="D51" s="24">
        <v>162</v>
      </c>
      <c r="E51" s="25">
        <v>0.436</v>
      </c>
      <c r="F51" s="25">
        <v>0.73799999999999999</v>
      </c>
      <c r="G51" s="24">
        <v>120</v>
      </c>
      <c r="H51" s="26">
        <v>2.6</v>
      </c>
      <c r="I51" s="26">
        <v>1.4</v>
      </c>
      <c r="J51" s="24">
        <v>106</v>
      </c>
      <c r="K51" s="24">
        <v>52</v>
      </c>
      <c r="L51" s="24">
        <v>776</v>
      </c>
      <c r="M51" s="26">
        <f>L51/D51</f>
        <v>4.7901234567901234</v>
      </c>
      <c r="N51" s="12"/>
    </row>
    <row r="52" spans="2:14" ht="15" customHeight="1">
      <c r="B52" s="29"/>
    </row>
    <row r="53" spans="2:14" ht="15" customHeight="1">
      <c r="B53" s="30" t="s">
        <v>193</v>
      </c>
    </row>
    <row r="54" spans="2:14" ht="15" customHeight="1">
      <c r="B54" s="19" t="s">
        <v>2</v>
      </c>
      <c r="C54" s="20" t="s">
        <v>3</v>
      </c>
      <c r="D54" s="21" t="s">
        <v>4</v>
      </c>
      <c r="E54" s="22" t="s">
        <v>5</v>
      </c>
      <c r="F54" s="22" t="s">
        <v>6</v>
      </c>
      <c r="G54" s="21" t="s">
        <v>7</v>
      </c>
      <c r="H54" s="23" t="s">
        <v>8</v>
      </c>
      <c r="I54" s="23" t="s">
        <v>9</v>
      </c>
      <c r="J54" s="21" t="s">
        <v>10</v>
      </c>
      <c r="K54" s="21" t="s">
        <v>11</v>
      </c>
      <c r="L54" s="21" t="s">
        <v>12</v>
      </c>
      <c r="M54" s="23" t="s">
        <v>13</v>
      </c>
      <c r="N54" s="8"/>
    </row>
    <row r="55" spans="2:14" ht="15" customHeight="1">
      <c r="B55" s="24">
        <v>2023</v>
      </c>
      <c r="C55" s="18" t="s">
        <v>22</v>
      </c>
      <c r="D55" s="24">
        <v>24</v>
      </c>
      <c r="E55" s="25">
        <v>0.497</v>
      </c>
      <c r="F55" s="25">
        <v>0.91500000000000004</v>
      </c>
      <c r="G55" s="24">
        <v>21</v>
      </c>
      <c r="H55" s="26">
        <v>3</v>
      </c>
      <c r="I55" s="26">
        <v>3.4</v>
      </c>
      <c r="J55" s="24">
        <v>27</v>
      </c>
      <c r="K55" s="24">
        <v>0</v>
      </c>
      <c r="L55" s="24">
        <v>267</v>
      </c>
      <c r="M55" s="26">
        <f>L55/D55</f>
        <v>11.125</v>
      </c>
      <c r="N55" s="12"/>
    </row>
    <row r="56" spans="2:14" ht="15" customHeight="1">
      <c r="B56" s="27" t="s">
        <v>15</v>
      </c>
      <c r="C56" s="18" t="s">
        <v>20</v>
      </c>
      <c r="D56" s="24">
        <v>263</v>
      </c>
      <c r="E56" s="25">
        <v>0.432</v>
      </c>
      <c r="F56" s="25">
        <v>0.80700000000000005</v>
      </c>
      <c r="G56" s="24">
        <v>100</v>
      </c>
      <c r="H56" s="26">
        <v>2.7</v>
      </c>
      <c r="I56" s="26">
        <v>3.3</v>
      </c>
      <c r="J56" s="24">
        <v>180</v>
      </c>
      <c r="K56" s="24">
        <v>6</v>
      </c>
      <c r="L56" s="24">
        <v>2077</v>
      </c>
      <c r="M56" s="26">
        <f>L56/D56</f>
        <v>7.8973384030418252</v>
      </c>
      <c r="N56" s="12"/>
    </row>
    <row r="57" spans="2:14" ht="15" customHeight="1">
      <c r="B57" s="9"/>
      <c r="D57" s="10"/>
      <c r="E57" s="11"/>
      <c r="F57" s="11"/>
      <c r="G57" s="10"/>
      <c r="H57" s="12"/>
      <c r="I57" s="12"/>
      <c r="J57" s="10"/>
      <c r="K57" s="10"/>
      <c r="L57" s="10"/>
      <c r="M57" s="12"/>
      <c r="N57" s="12"/>
    </row>
    <row r="58" spans="2:14" ht="15" customHeight="1">
      <c r="B58" s="30" t="s">
        <v>194</v>
      </c>
    </row>
    <row r="59" spans="2:14" ht="15" customHeight="1">
      <c r="B59" s="19" t="s">
        <v>2</v>
      </c>
      <c r="C59" s="20" t="s">
        <v>3</v>
      </c>
      <c r="D59" s="21" t="s">
        <v>4</v>
      </c>
      <c r="E59" s="22" t="s">
        <v>5</v>
      </c>
      <c r="F59" s="22" t="s">
        <v>6</v>
      </c>
      <c r="G59" s="21" t="s">
        <v>7</v>
      </c>
      <c r="H59" s="23" t="s">
        <v>8</v>
      </c>
      <c r="I59" s="23" t="s">
        <v>9</v>
      </c>
      <c r="J59" s="21" t="s">
        <v>10</v>
      </c>
      <c r="K59" s="21" t="s">
        <v>11</v>
      </c>
      <c r="L59" s="21" t="s">
        <v>12</v>
      </c>
      <c r="M59" s="23" t="s">
        <v>13</v>
      </c>
      <c r="N59" s="8"/>
    </row>
    <row r="60" spans="2:14" ht="15" customHeight="1">
      <c r="B60" s="24">
        <v>2024</v>
      </c>
      <c r="C60" s="18" t="s">
        <v>22</v>
      </c>
      <c r="D60" s="24">
        <v>40</v>
      </c>
      <c r="E60" s="25">
        <v>0.51200000000000001</v>
      </c>
      <c r="F60" s="25">
        <v>0.63100000000000001</v>
      </c>
      <c r="G60" s="24">
        <v>30</v>
      </c>
      <c r="H60" s="26">
        <v>9.1999999999999993</v>
      </c>
      <c r="I60" s="26">
        <v>3.5</v>
      </c>
      <c r="J60" s="24">
        <v>68</v>
      </c>
      <c r="K60" s="24">
        <v>8</v>
      </c>
      <c r="L60" s="24">
        <v>691</v>
      </c>
      <c r="M60" s="26">
        <f>L60/D60</f>
        <v>17.274999999999999</v>
      </c>
      <c r="N60" s="12"/>
    </row>
    <row r="61" spans="2:14" ht="15" customHeight="1">
      <c r="B61" s="27" t="s">
        <v>15</v>
      </c>
      <c r="C61" s="18" t="s">
        <v>20</v>
      </c>
      <c r="D61" s="24">
        <v>322</v>
      </c>
      <c r="E61" s="25">
        <v>0.47799999999999998</v>
      </c>
      <c r="F61" s="25">
        <v>0.67100000000000004</v>
      </c>
      <c r="G61" s="24">
        <v>123</v>
      </c>
      <c r="H61" s="26">
        <v>6.1</v>
      </c>
      <c r="I61" s="26">
        <v>1.7</v>
      </c>
      <c r="J61" s="24">
        <v>318</v>
      </c>
      <c r="K61" s="24">
        <v>80</v>
      </c>
      <c r="L61" s="24">
        <v>3279</v>
      </c>
      <c r="M61" s="26">
        <f>L61/D61</f>
        <v>10.183229813664596</v>
      </c>
      <c r="N61" s="12"/>
    </row>
    <row r="62" spans="2:14" ht="15" customHeight="1">
      <c r="B62" s="9"/>
      <c r="D62" s="10"/>
      <c r="E62" s="11"/>
      <c r="F62" s="11"/>
      <c r="G62" s="10"/>
      <c r="H62" s="12"/>
      <c r="I62" s="12"/>
      <c r="J62" s="10"/>
      <c r="K62" s="10"/>
      <c r="L62" s="10"/>
      <c r="M62" s="12"/>
      <c r="N62" s="12"/>
    </row>
    <row r="63" spans="2:14" ht="15" customHeight="1">
      <c r="B63" s="30" t="s">
        <v>195</v>
      </c>
    </row>
    <row r="64" spans="2:14" ht="15" customHeight="1">
      <c r="B64" s="19" t="s">
        <v>2</v>
      </c>
      <c r="C64" s="20" t="s">
        <v>3</v>
      </c>
      <c r="D64" s="21" t="s">
        <v>4</v>
      </c>
      <c r="E64" s="22" t="s">
        <v>5</v>
      </c>
      <c r="F64" s="22" t="s">
        <v>6</v>
      </c>
      <c r="G64" s="21" t="s">
        <v>7</v>
      </c>
      <c r="H64" s="23" t="s">
        <v>8</v>
      </c>
      <c r="I64" s="23" t="s">
        <v>9</v>
      </c>
      <c r="J64" s="21" t="s">
        <v>10</v>
      </c>
      <c r="K64" s="21" t="s">
        <v>11</v>
      </c>
      <c r="L64" s="21" t="s">
        <v>12</v>
      </c>
      <c r="M64" s="23" t="s">
        <v>13</v>
      </c>
      <c r="N64" s="8"/>
    </row>
    <row r="65" spans="2:14" ht="15" customHeight="1">
      <c r="B65" s="24">
        <v>2022</v>
      </c>
      <c r="C65" s="18" t="s">
        <v>196</v>
      </c>
      <c r="D65" s="24">
        <v>27</v>
      </c>
      <c r="E65" s="25">
        <v>0.439</v>
      </c>
      <c r="F65" s="25">
        <v>0.66700000000000004</v>
      </c>
      <c r="G65" s="24">
        <v>3</v>
      </c>
      <c r="H65" s="26">
        <v>2</v>
      </c>
      <c r="I65" s="26">
        <v>0.4</v>
      </c>
      <c r="J65" s="24">
        <v>7</v>
      </c>
      <c r="K65" s="24">
        <v>5</v>
      </c>
      <c r="L65" s="24">
        <v>59</v>
      </c>
      <c r="M65" s="26">
        <f>L65/D65</f>
        <v>2.1851851851851851</v>
      </c>
      <c r="N65" s="12"/>
    </row>
    <row r="66" spans="2:14" ht="15" customHeight="1">
      <c r="B66" s="27" t="s">
        <v>15</v>
      </c>
      <c r="C66" s="18" t="s">
        <v>71</v>
      </c>
      <c r="D66" s="24">
        <v>141</v>
      </c>
      <c r="E66" s="25">
        <v>0.48499999999999999</v>
      </c>
      <c r="F66" s="25">
        <v>0.628</v>
      </c>
      <c r="G66" s="24">
        <v>6</v>
      </c>
      <c r="H66" s="26">
        <v>3.1</v>
      </c>
      <c r="I66" s="26">
        <v>0.3</v>
      </c>
      <c r="J66" s="24">
        <v>40</v>
      </c>
      <c r="K66" s="24">
        <v>32</v>
      </c>
      <c r="L66" s="24">
        <v>542</v>
      </c>
      <c r="M66" s="26">
        <f>L66/D66</f>
        <v>3.8439716312056738</v>
      </c>
      <c r="N66" s="12"/>
    </row>
    <row r="67" spans="2:14" ht="15" customHeight="1">
      <c r="B67" s="9"/>
      <c r="D67" s="10"/>
      <c r="E67" s="11"/>
      <c r="F67" s="11"/>
      <c r="G67" s="10"/>
      <c r="H67" s="12"/>
      <c r="I67" s="12"/>
      <c r="J67" s="10"/>
      <c r="K67" s="10"/>
      <c r="L67" s="10"/>
      <c r="M67" s="12"/>
      <c r="N67" s="12"/>
    </row>
    <row r="68" spans="2:14" ht="15" customHeight="1">
      <c r="B68" s="30" t="s">
        <v>197</v>
      </c>
    </row>
    <row r="69" spans="2:14" ht="15" customHeight="1">
      <c r="B69" s="19" t="s">
        <v>2</v>
      </c>
      <c r="C69" s="20" t="s">
        <v>3</v>
      </c>
      <c r="D69" s="21" t="s">
        <v>4</v>
      </c>
      <c r="E69" s="22" t="s">
        <v>5</v>
      </c>
      <c r="F69" s="22" t="s">
        <v>6</v>
      </c>
      <c r="G69" s="21" t="s">
        <v>7</v>
      </c>
      <c r="H69" s="23" t="s">
        <v>8</v>
      </c>
      <c r="I69" s="23" t="s">
        <v>9</v>
      </c>
      <c r="J69" s="21" t="s">
        <v>10</v>
      </c>
      <c r="K69" s="21" t="s">
        <v>11</v>
      </c>
      <c r="L69" s="21" t="s">
        <v>12</v>
      </c>
      <c r="M69" s="23" t="s">
        <v>13</v>
      </c>
      <c r="N69" s="8"/>
    </row>
    <row r="70" spans="2:14" ht="15" customHeight="1">
      <c r="B70" s="24">
        <v>2023</v>
      </c>
      <c r="C70" s="18" t="s">
        <v>22</v>
      </c>
      <c r="D70" s="24">
        <v>35</v>
      </c>
      <c r="E70" s="25">
        <v>0.40400000000000003</v>
      </c>
      <c r="F70" s="25">
        <v>0.754</v>
      </c>
      <c r="G70" s="24">
        <v>35</v>
      </c>
      <c r="H70" s="26">
        <v>5.9</v>
      </c>
      <c r="I70" s="26">
        <v>1.1000000000000001</v>
      </c>
      <c r="J70" s="24">
        <v>41</v>
      </c>
      <c r="K70" s="24">
        <v>32</v>
      </c>
      <c r="L70" s="24">
        <v>379</v>
      </c>
      <c r="M70" s="26">
        <f>L70/D70</f>
        <v>10.828571428571429</v>
      </c>
      <c r="N70" s="12"/>
    </row>
    <row r="71" spans="2:14" ht="15" customHeight="1">
      <c r="B71" s="27" t="s">
        <v>15</v>
      </c>
      <c r="C71" s="18" t="s">
        <v>71</v>
      </c>
      <c r="D71" s="24">
        <v>156</v>
      </c>
      <c r="E71" s="25">
        <v>0.44600000000000001</v>
      </c>
      <c r="F71" s="25">
        <v>0.78</v>
      </c>
      <c r="G71" s="24">
        <v>136</v>
      </c>
      <c r="H71" s="26">
        <v>4.8</v>
      </c>
      <c r="I71" s="26">
        <v>1</v>
      </c>
      <c r="J71" s="24">
        <v>130</v>
      </c>
      <c r="K71" s="24">
        <v>164</v>
      </c>
      <c r="L71" s="24">
        <v>1466</v>
      </c>
      <c r="M71" s="26">
        <f>L71/D71</f>
        <v>9.3974358974358978</v>
      </c>
      <c r="N71" s="12"/>
    </row>
    <row r="72" spans="2:14" ht="15" customHeight="1">
      <c r="B72" s="9"/>
      <c r="D72" s="10"/>
      <c r="E72" s="11"/>
      <c r="F72" s="11"/>
      <c r="G72" s="10"/>
      <c r="H72" s="12"/>
      <c r="I72" s="12"/>
      <c r="J72" s="10"/>
      <c r="K72" s="10"/>
      <c r="L72" s="10"/>
      <c r="M72" s="12"/>
      <c r="N72" s="12"/>
    </row>
    <row r="73" spans="2:14" ht="15" customHeight="1">
      <c r="B73" s="30" t="s">
        <v>198</v>
      </c>
    </row>
    <row r="74" spans="2:14" ht="15" customHeight="1">
      <c r="B74" s="19" t="s">
        <v>2</v>
      </c>
      <c r="C74" s="20" t="s">
        <v>3</v>
      </c>
      <c r="D74" s="21" t="s">
        <v>4</v>
      </c>
      <c r="E74" s="22" t="s">
        <v>5</v>
      </c>
      <c r="F74" s="22" t="s">
        <v>6</v>
      </c>
      <c r="G74" s="21" t="s">
        <v>7</v>
      </c>
      <c r="H74" s="23" t="s">
        <v>8</v>
      </c>
      <c r="I74" s="23" t="s">
        <v>9</v>
      </c>
      <c r="J74" s="21" t="s">
        <v>10</v>
      </c>
      <c r="K74" s="21" t="s">
        <v>11</v>
      </c>
      <c r="L74" s="21" t="s">
        <v>12</v>
      </c>
      <c r="M74" s="23" t="s">
        <v>13</v>
      </c>
      <c r="N74" s="8"/>
    </row>
    <row r="75" spans="2:14" ht="15" customHeight="1">
      <c r="B75" s="24">
        <v>2024</v>
      </c>
      <c r="C75" s="18" t="s">
        <v>22</v>
      </c>
      <c r="D75" s="24">
        <v>29</v>
      </c>
      <c r="E75" s="25">
        <v>0.32100000000000001</v>
      </c>
      <c r="F75" s="25">
        <v>0.69</v>
      </c>
      <c r="G75" s="24">
        <v>11</v>
      </c>
      <c r="H75" s="26">
        <v>0.6</v>
      </c>
      <c r="I75" s="26">
        <v>0.6</v>
      </c>
      <c r="J75" s="24">
        <v>9</v>
      </c>
      <c r="K75" s="24">
        <v>3</v>
      </c>
      <c r="L75" s="24">
        <v>103</v>
      </c>
      <c r="M75" s="26">
        <f>L75/D75</f>
        <v>3.5517241379310347</v>
      </c>
      <c r="N75" s="12"/>
    </row>
    <row r="76" spans="2:14" ht="15" customHeight="1">
      <c r="B76" s="27" t="s">
        <v>15</v>
      </c>
      <c r="C76" s="18" t="s">
        <v>38</v>
      </c>
      <c r="D76" s="24">
        <v>68</v>
      </c>
      <c r="E76" s="25">
        <v>0.3</v>
      </c>
      <c r="F76" s="25">
        <v>0.76600000000000001</v>
      </c>
      <c r="G76" s="24">
        <v>29</v>
      </c>
      <c r="H76" s="26">
        <v>0.8</v>
      </c>
      <c r="I76" s="26">
        <v>0.7</v>
      </c>
      <c r="J76" s="24">
        <v>22</v>
      </c>
      <c r="K76" s="24">
        <v>15</v>
      </c>
      <c r="L76" s="24">
        <v>290</v>
      </c>
      <c r="M76" s="26">
        <f>L76/D76</f>
        <v>4.2647058823529411</v>
      </c>
      <c r="N76" s="12"/>
    </row>
    <row r="77" spans="2:14" ht="15" customHeight="1">
      <c r="B77" s="9"/>
      <c r="D77" s="10"/>
      <c r="E77" s="11"/>
      <c r="F77" s="11"/>
      <c r="G77" s="10"/>
      <c r="H77" s="12"/>
      <c r="I77" s="12"/>
      <c r="J77" s="10"/>
      <c r="K77" s="10"/>
      <c r="L77" s="10"/>
      <c r="M77" s="12"/>
      <c r="N77" s="12"/>
    </row>
    <row r="78" spans="2:14" ht="15" customHeight="1">
      <c r="B78" s="30" t="s">
        <v>199</v>
      </c>
      <c r="N78" s="8"/>
    </row>
    <row r="79" spans="2:14" ht="15" customHeight="1">
      <c r="B79" s="19" t="s">
        <v>2</v>
      </c>
      <c r="C79" s="20" t="s">
        <v>3</v>
      </c>
      <c r="D79" s="21" t="s">
        <v>4</v>
      </c>
      <c r="E79" s="22" t="s">
        <v>5</v>
      </c>
      <c r="F79" s="22" t="s">
        <v>6</v>
      </c>
      <c r="G79" s="21" t="s">
        <v>7</v>
      </c>
      <c r="H79" s="23" t="s">
        <v>8</v>
      </c>
      <c r="I79" s="23" t="s">
        <v>9</v>
      </c>
      <c r="J79" s="21" t="s">
        <v>10</v>
      </c>
      <c r="K79" s="21" t="s">
        <v>11</v>
      </c>
      <c r="L79" s="21" t="s">
        <v>12</v>
      </c>
      <c r="M79" s="23" t="s">
        <v>13</v>
      </c>
      <c r="N79" s="12"/>
    </row>
    <row r="80" spans="2:14" ht="15" customHeight="1">
      <c r="B80" s="24">
        <v>2024</v>
      </c>
      <c r="C80" s="18" t="s">
        <v>22</v>
      </c>
      <c r="D80" s="24">
        <v>40</v>
      </c>
      <c r="E80" s="25">
        <v>0.45600000000000002</v>
      </c>
      <c r="F80" s="25">
        <v>0.80700000000000005</v>
      </c>
      <c r="G80" s="24">
        <v>43</v>
      </c>
      <c r="H80" s="26">
        <v>3.9</v>
      </c>
      <c r="I80" s="26">
        <v>1.5</v>
      </c>
      <c r="J80" s="24">
        <v>27</v>
      </c>
      <c r="K80" s="24">
        <v>14</v>
      </c>
      <c r="L80" s="24">
        <v>535</v>
      </c>
      <c r="M80" s="26">
        <f>L80/D80</f>
        <v>13.375</v>
      </c>
      <c r="N80" s="12"/>
    </row>
    <row r="81" spans="2:14" ht="15" customHeight="1">
      <c r="B81" s="27" t="s">
        <v>15</v>
      </c>
      <c r="C81" s="18" t="s">
        <v>40</v>
      </c>
      <c r="D81" s="24">
        <v>40</v>
      </c>
      <c r="E81" s="25">
        <v>0.45600000000000002</v>
      </c>
      <c r="F81" s="25">
        <v>0.80700000000000005</v>
      </c>
      <c r="G81" s="24">
        <v>43</v>
      </c>
      <c r="H81" s="26">
        <v>3.9</v>
      </c>
      <c r="I81" s="26">
        <v>1.5</v>
      </c>
      <c r="J81" s="24">
        <v>27</v>
      </c>
      <c r="K81" s="24">
        <v>14</v>
      </c>
      <c r="L81" s="24">
        <v>535</v>
      </c>
      <c r="M81" s="26">
        <f>L81/D81</f>
        <v>13.375</v>
      </c>
      <c r="N81" s="17"/>
    </row>
    <row r="82" spans="2:14" ht="15" customHeight="1">
      <c r="B82" s="15"/>
      <c r="C82" s="5"/>
      <c r="D82" s="5"/>
      <c r="E82" s="16"/>
      <c r="F82" s="16"/>
      <c r="G82" s="5"/>
      <c r="H82" s="17"/>
      <c r="I82" s="17"/>
      <c r="J82" s="5"/>
      <c r="K82" s="5"/>
      <c r="L82" s="17"/>
      <c r="M82" s="17"/>
    </row>
    <row r="83" spans="2:14" ht="15" customHeight="1">
      <c r="B83" s="30" t="s">
        <v>200</v>
      </c>
      <c r="N83" s="8"/>
    </row>
    <row r="84" spans="2:14" ht="15" customHeight="1">
      <c r="B84" s="19" t="s">
        <v>2</v>
      </c>
      <c r="C84" s="20" t="s">
        <v>3</v>
      </c>
      <c r="D84" s="21" t="s">
        <v>4</v>
      </c>
      <c r="E84" s="22" t="s">
        <v>5</v>
      </c>
      <c r="F84" s="22" t="s">
        <v>6</v>
      </c>
      <c r="G84" s="21" t="s">
        <v>7</v>
      </c>
      <c r="H84" s="23" t="s">
        <v>8</v>
      </c>
      <c r="I84" s="23" t="s">
        <v>9</v>
      </c>
      <c r="J84" s="21" t="s">
        <v>10</v>
      </c>
      <c r="K84" s="21" t="s">
        <v>11</v>
      </c>
      <c r="L84" s="21" t="s">
        <v>12</v>
      </c>
      <c r="M84" s="23" t="s">
        <v>13</v>
      </c>
      <c r="N84" s="12"/>
    </row>
    <row r="85" spans="2:14" ht="15" customHeight="1">
      <c r="B85" s="24">
        <v>2024</v>
      </c>
      <c r="C85" s="18" t="s">
        <v>22</v>
      </c>
      <c r="D85" s="24">
        <v>15</v>
      </c>
      <c r="E85" s="25">
        <v>0.39800000000000002</v>
      </c>
      <c r="F85" s="25">
        <v>0.84</v>
      </c>
      <c r="G85" s="24">
        <v>10</v>
      </c>
      <c r="H85" s="26">
        <v>5.3</v>
      </c>
      <c r="I85" s="26">
        <v>1.7</v>
      </c>
      <c r="J85" s="24">
        <v>16</v>
      </c>
      <c r="K85" s="24">
        <v>35</v>
      </c>
      <c r="L85" s="24">
        <v>113</v>
      </c>
      <c r="M85" s="26">
        <f>L85/D85</f>
        <v>7.5333333333333332</v>
      </c>
      <c r="N85" s="12"/>
    </row>
    <row r="86" spans="2:14" ht="15" customHeight="1">
      <c r="B86" s="27" t="s">
        <v>15</v>
      </c>
      <c r="C86" s="18" t="s">
        <v>40</v>
      </c>
      <c r="D86" s="24">
        <v>15</v>
      </c>
      <c r="E86" s="25">
        <v>0.39800000000000002</v>
      </c>
      <c r="F86" s="25">
        <v>0.84</v>
      </c>
      <c r="G86" s="24">
        <v>10</v>
      </c>
      <c r="H86" s="26">
        <v>5.3</v>
      </c>
      <c r="I86" s="26">
        <v>1.7</v>
      </c>
      <c r="J86" s="24">
        <v>16</v>
      </c>
      <c r="K86" s="24">
        <v>35</v>
      </c>
      <c r="L86" s="24">
        <v>113</v>
      </c>
      <c r="M86" s="26">
        <f>L86/D86</f>
        <v>7.5333333333333332</v>
      </c>
      <c r="N86" s="17"/>
    </row>
    <row r="87" spans="2:14" ht="15" customHeight="1">
      <c r="B87" s="15"/>
      <c r="C87" s="5"/>
      <c r="D87" s="5"/>
      <c r="E87" s="16"/>
      <c r="F87" s="16"/>
      <c r="G87" s="5"/>
      <c r="H87" s="17"/>
      <c r="I87" s="17"/>
      <c r="J87" s="5"/>
      <c r="K87" s="5"/>
      <c r="L87" s="17"/>
      <c r="M87" s="17"/>
    </row>
    <row r="88" spans="2:14" ht="15" customHeight="1">
      <c r="B88" s="30" t="s">
        <v>201</v>
      </c>
      <c r="N88" s="8"/>
    </row>
    <row r="89" spans="2:14" ht="15" customHeight="1">
      <c r="B89" s="19" t="s">
        <v>2</v>
      </c>
      <c r="C89" s="20" t="s">
        <v>3</v>
      </c>
      <c r="D89" s="21" t="s">
        <v>4</v>
      </c>
      <c r="E89" s="22" t="s">
        <v>5</v>
      </c>
      <c r="F89" s="22" t="s">
        <v>6</v>
      </c>
      <c r="G89" s="21" t="s">
        <v>7</v>
      </c>
      <c r="H89" s="23" t="s">
        <v>8</v>
      </c>
      <c r="I89" s="23" t="s">
        <v>9</v>
      </c>
      <c r="J89" s="21" t="s">
        <v>10</v>
      </c>
      <c r="K89" s="21" t="s">
        <v>11</v>
      </c>
      <c r="L89" s="21" t="s">
        <v>12</v>
      </c>
      <c r="M89" s="23" t="s">
        <v>13</v>
      </c>
      <c r="N89" s="12"/>
    </row>
    <row r="90" spans="2:14" ht="15" customHeight="1">
      <c r="B90" s="24">
        <v>2024</v>
      </c>
      <c r="C90" s="18" t="s">
        <v>22</v>
      </c>
      <c r="D90" s="24">
        <v>38</v>
      </c>
      <c r="E90" s="25">
        <v>0.46300000000000002</v>
      </c>
      <c r="F90" s="25">
        <v>0.89800000000000002</v>
      </c>
      <c r="G90" s="24">
        <v>4</v>
      </c>
      <c r="H90" s="26">
        <v>3.7</v>
      </c>
      <c r="I90" s="26">
        <v>0.6</v>
      </c>
      <c r="J90" s="24">
        <v>12</v>
      </c>
      <c r="K90" s="24">
        <v>9</v>
      </c>
      <c r="L90" s="24">
        <v>193</v>
      </c>
      <c r="M90" s="26">
        <f>L90/D90</f>
        <v>5.0789473684210522</v>
      </c>
      <c r="N90" s="12"/>
    </row>
    <row r="91" spans="2:14" ht="15" customHeight="1">
      <c r="B91" s="27" t="s">
        <v>15</v>
      </c>
      <c r="C91" s="18" t="s">
        <v>38</v>
      </c>
      <c r="D91" s="24">
        <v>54</v>
      </c>
      <c r="E91" s="25">
        <v>0.46100000000000002</v>
      </c>
      <c r="F91" s="25">
        <v>0.91500000000000004</v>
      </c>
      <c r="G91" s="24">
        <v>4</v>
      </c>
      <c r="H91" s="26">
        <v>3</v>
      </c>
      <c r="I91" s="26">
        <v>0.4</v>
      </c>
      <c r="J91" s="24">
        <v>14</v>
      </c>
      <c r="K91" s="24">
        <v>11</v>
      </c>
      <c r="L91" s="24">
        <v>221</v>
      </c>
      <c r="M91" s="26">
        <f>L91/D91</f>
        <v>4.0925925925925926</v>
      </c>
      <c r="N91" s="17"/>
    </row>
    <row r="92" spans="2:14" ht="15" customHeight="1">
      <c r="B92" s="15"/>
      <c r="C92" s="5"/>
      <c r="D92" s="5"/>
      <c r="E92" s="16"/>
      <c r="F92" s="16"/>
      <c r="G92" s="5"/>
      <c r="H92" s="17"/>
      <c r="I92" s="17"/>
      <c r="J92" s="5"/>
      <c r="K92" s="5"/>
      <c r="L92" s="17"/>
      <c r="M92" s="17"/>
    </row>
    <row r="93" spans="2:14" ht="15" customHeight="1">
      <c r="B93" s="30" t="s">
        <v>202</v>
      </c>
    </row>
    <row r="94" spans="2:14" ht="15" customHeight="1">
      <c r="B94" s="19" t="s">
        <v>2</v>
      </c>
      <c r="C94" s="20" t="s">
        <v>3</v>
      </c>
      <c r="D94" s="21" t="s">
        <v>4</v>
      </c>
      <c r="E94" s="22" t="s">
        <v>5</v>
      </c>
      <c r="F94" s="22" t="s">
        <v>6</v>
      </c>
      <c r="G94" s="21" t="s">
        <v>7</v>
      </c>
      <c r="H94" s="23" t="s">
        <v>8</v>
      </c>
      <c r="I94" s="23" t="s">
        <v>9</v>
      </c>
      <c r="J94" s="21" t="s">
        <v>10</v>
      </c>
      <c r="K94" s="21" t="s">
        <v>11</v>
      </c>
      <c r="L94" s="21" t="s">
        <v>12</v>
      </c>
      <c r="M94" s="23" t="s">
        <v>13</v>
      </c>
    </row>
    <row r="95" spans="2:14" ht="15" customHeight="1">
      <c r="B95" s="24">
        <v>2024</v>
      </c>
      <c r="C95" s="18" t="s">
        <v>22</v>
      </c>
      <c r="D95" s="24">
        <v>37</v>
      </c>
      <c r="E95" s="25">
        <v>0.36199999999999999</v>
      </c>
      <c r="F95" s="25">
        <v>0.436</v>
      </c>
      <c r="G95" s="24">
        <v>24</v>
      </c>
      <c r="H95" s="26">
        <v>1.8</v>
      </c>
      <c r="I95" s="26">
        <v>1.1000000000000001</v>
      </c>
      <c r="J95" s="24">
        <v>29</v>
      </c>
      <c r="K95" s="24">
        <v>11</v>
      </c>
      <c r="L95" s="24">
        <v>220</v>
      </c>
      <c r="M95" s="26">
        <f>L95/D95</f>
        <v>5.9459459459459456</v>
      </c>
    </row>
    <row r="96" spans="2:14" ht="15" customHeight="1">
      <c r="B96" s="27" t="s">
        <v>15</v>
      </c>
      <c r="C96" s="18" t="s">
        <v>23</v>
      </c>
      <c r="D96" s="24">
        <v>69</v>
      </c>
      <c r="E96" s="25">
        <v>0.36199999999999999</v>
      </c>
      <c r="F96" s="25">
        <v>0.78900000000000003</v>
      </c>
      <c r="G96" s="24">
        <v>119</v>
      </c>
      <c r="H96" s="26">
        <v>1.6</v>
      </c>
      <c r="I96" s="26">
        <v>0.9</v>
      </c>
      <c r="J96" s="24">
        <v>29</v>
      </c>
      <c r="K96" s="24">
        <v>11</v>
      </c>
      <c r="L96" s="24">
        <v>330</v>
      </c>
      <c r="M96" s="26">
        <f>L96/D96</f>
        <v>4.7826086956521738</v>
      </c>
    </row>
    <row r="98" spans="2:13" ht="15" customHeight="1">
      <c r="B98" s="30" t="s">
        <v>203</v>
      </c>
    </row>
    <row r="99" spans="2:13" ht="15" customHeight="1">
      <c r="B99" s="19" t="s">
        <v>2</v>
      </c>
      <c r="C99" s="20" t="s">
        <v>3</v>
      </c>
      <c r="D99" s="21" t="s">
        <v>4</v>
      </c>
      <c r="E99" s="22" t="s">
        <v>5</v>
      </c>
      <c r="F99" s="22" t="s">
        <v>6</v>
      </c>
      <c r="G99" s="21" t="s">
        <v>7</v>
      </c>
      <c r="H99" s="23" t="s">
        <v>8</v>
      </c>
      <c r="I99" s="23" t="s">
        <v>9</v>
      </c>
      <c r="J99" s="21" t="s">
        <v>10</v>
      </c>
      <c r="K99" s="21" t="s">
        <v>11</v>
      </c>
      <c r="L99" s="21" t="s">
        <v>12</v>
      </c>
      <c r="M99" s="23" t="s">
        <v>13</v>
      </c>
    </row>
    <row r="100" spans="2:13" ht="15" customHeight="1">
      <c r="B100" s="24">
        <v>2024</v>
      </c>
      <c r="C100" s="18" t="s">
        <v>22</v>
      </c>
      <c r="D100" s="24">
        <v>40</v>
      </c>
      <c r="E100" s="25">
        <v>0.38800000000000001</v>
      </c>
      <c r="F100" s="25">
        <v>0.79300000000000004</v>
      </c>
      <c r="G100" s="24">
        <v>53</v>
      </c>
      <c r="H100" s="26">
        <v>1.6</v>
      </c>
      <c r="I100" s="26">
        <v>1.3</v>
      </c>
      <c r="J100" s="24">
        <v>19</v>
      </c>
      <c r="K100" s="24">
        <v>1</v>
      </c>
      <c r="L100" s="24">
        <v>303</v>
      </c>
      <c r="M100" s="26">
        <f>L100/D100</f>
        <v>7.5750000000000002</v>
      </c>
    </row>
    <row r="101" spans="2:13" ht="15" customHeight="1">
      <c r="B101" s="27" t="s">
        <v>15</v>
      </c>
      <c r="C101" s="18" t="s">
        <v>71</v>
      </c>
      <c r="D101" s="24">
        <v>201</v>
      </c>
      <c r="E101" s="25">
        <v>0.36299999999999999</v>
      </c>
      <c r="F101" s="25">
        <v>0.85</v>
      </c>
      <c r="G101" s="24">
        <v>295</v>
      </c>
      <c r="H101" s="26">
        <v>2.5</v>
      </c>
      <c r="I101" s="26">
        <v>1.7</v>
      </c>
      <c r="J101" s="24">
        <v>119</v>
      </c>
      <c r="K101" s="24">
        <v>18</v>
      </c>
      <c r="L101" s="24">
        <v>1872</v>
      </c>
      <c r="M101" s="26">
        <f>L101/D101</f>
        <v>9.3134328358208958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N101"/>
  <sheetViews>
    <sheetView zoomScale="120" zoomScaleNormal="120" workbookViewId="0">
      <selection activeCell="B59" sqref="B59"/>
    </sheetView>
  </sheetViews>
  <sheetFormatPr defaultColWidth="45" defaultRowHeight="15" customHeight="1"/>
  <cols>
    <col min="1" max="1" width="2.7109375" style="1" customWidth="1"/>
    <col min="2" max="2" width="17.7109375" style="13" bestFit="1" customWidth="1"/>
    <col min="3" max="3" width="19.140625" style="1" bestFit="1" customWidth="1"/>
    <col min="4" max="4" width="4.28515625" style="1" customWidth="1"/>
    <col min="5" max="5" width="7.42578125" style="2" bestFit="1" customWidth="1"/>
    <col min="6" max="6" width="4.85546875" style="2" bestFit="1" customWidth="1"/>
    <col min="7" max="7" width="4.42578125" style="1" bestFit="1" customWidth="1"/>
    <col min="8" max="8" width="4.140625" style="3" bestFit="1" customWidth="1"/>
    <col min="9" max="9" width="4.28515625" style="3" bestFit="1" customWidth="1"/>
    <col min="10" max="10" width="5.140625" style="1" customWidth="1"/>
    <col min="11" max="11" width="4.42578125" style="1" bestFit="1" customWidth="1"/>
    <col min="12" max="12" width="5.28515625" style="1" bestFit="1" customWidth="1"/>
    <col min="13" max="13" width="4.42578125" style="3" bestFit="1" customWidth="1"/>
    <col min="14" max="14" width="4.42578125" style="3" customWidth="1"/>
    <col min="15" max="16384" width="45" style="1"/>
  </cols>
  <sheetData>
    <row r="1" spans="2:14" ht="15" customHeight="1">
      <c r="B1" s="33" t="s">
        <v>204</v>
      </c>
    </row>
    <row r="3" spans="2:14" ht="15" customHeight="1">
      <c r="B3" s="30" t="s">
        <v>205</v>
      </c>
    </row>
    <row r="4" spans="2:14" ht="15" customHeight="1">
      <c r="B4" s="19" t="s">
        <v>2</v>
      </c>
      <c r="C4" s="20" t="s">
        <v>3</v>
      </c>
      <c r="D4" s="21" t="s">
        <v>4</v>
      </c>
      <c r="E4" s="22" t="s">
        <v>5</v>
      </c>
      <c r="F4" s="22" t="s">
        <v>6</v>
      </c>
      <c r="G4" s="21" t="s">
        <v>7</v>
      </c>
      <c r="H4" s="23" t="s">
        <v>8</v>
      </c>
      <c r="I4" s="23" t="s">
        <v>9</v>
      </c>
      <c r="J4" s="21" t="s">
        <v>10</v>
      </c>
      <c r="K4" s="21" t="s">
        <v>11</v>
      </c>
      <c r="L4" s="21" t="s">
        <v>12</v>
      </c>
      <c r="M4" s="23" t="s">
        <v>13</v>
      </c>
      <c r="N4" s="8"/>
    </row>
    <row r="5" spans="2:14" ht="15" customHeight="1">
      <c r="B5" s="24">
        <v>2022</v>
      </c>
      <c r="C5" s="18" t="s">
        <v>73</v>
      </c>
      <c r="D5" s="24">
        <v>30</v>
      </c>
      <c r="E5" s="25">
        <v>0.622</v>
      </c>
      <c r="F5" s="25">
        <v>0.66</v>
      </c>
      <c r="G5" s="24">
        <v>0</v>
      </c>
      <c r="H5" s="26">
        <v>9.8000000000000007</v>
      </c>
      <c r="I5" s="26">
        <v>1.2</v>
      </c>
      <c r="J5" s="24">
        <v>31</v>
      </c>
      <c r="K5" s="24">
        <v>36</v>
      </c>
      <c r="L5" s="24">
        <v>432</v>
      </c>
      <c r="M5" s="26">
        <f>L5/D5</f>
        <v>14.4</v>
      </c>
      <c r="N5" s="12"/>
    </row>
    <row r="6" spans="2:14" ht="15" customHeight="1">
      <c r="B6" s="27" t="s">
        <v>15</v>
      </c>
      <c r="C6" s="18" t="s">
        <v>96</v>
      </c>
      <c r="D6" s="24">
        <v>408</v>
      </c>
      <c r="E6" s="25">
        <v>0.59899999999999998</v>
      </c>
      <c r="F6" s="25">
        <v>0.72799999999999998</v>
      </c>
      <c r="G6" s="24">
        <v>1</v>
      </c>
      <c r="H6" s="26">
        <v>9.8000000000000007</v>
      </c>
      <c r="I6" s="26">
        <v>1.1000000000000001</v>
      </c>
      <c r="J6" s="24">
        <v>490</v>
      </c>
      <c r="K6" s="24">
        <v>721</v>
      </c>
      <c r="L6" s="24">
        <v>6415</v>
      </c>
      <c r="M6" s="26">
        <f>L6/D6</f>
        <v>15.723039215686274</v>
      </c>
      <c r="N6" s="12"/>
    </row>
    <row r="8" spans="2:14" ht="15" customHeight="1">
      <c r="B8" s="30" t="s">
        <v>206</v>
      </c>
    </row>
    <row r="9" spans="2:14" ht="15" customHeight="1">
      <c r="B9" s="19" t="s">
        <v>2</v>
      </c>
      <c r="C9" s="20" t="s">
        <v>3</v>
      </c>
      <c r="D9" s="21" t="s">
        <v>4</v>
      </c>
      <c r="E9" s="22" t="s">
        <v>5</v>
      </c>
      <c r="F9" s="22" t="s">
        <v>6</v>
      </c>
      <c r="G9" s="21" t="s">
        <v>7</v>
      </c>
      <c r="H9" s="23" t="s">
        <v>8</v>
      </c>
      <c r="I9" s="23" t="s">
        <v>9</v>
      </c>
      <c r="J9" s="21" t="s">
        <v>10</v>
      </c>
      <c r="K9" s="21" t="s">
        <v>11</v>
      </c>
      <c r="L9" s="21" t="s">
        <v>12</v>
      </c>
      <c r="M9" s="23" t="s">
        <v>13</v>
      </c>
      <c r="N9" s="8"/>
    </row>
    <row r="10" spans="2:14" ht="15" customHeight="1">
      <c r="B10" s="24">
        <v>2018</v>
      </c>
      <c r="C10" s="18" t="s">
        <v>73</v>
      </c>
      <c r="D10" s="24">
        <v>29</v>
      </c>
      <c r="E10" s="25">
        <v>0.40899999999999997</v>
      </c>
      <c r="F10" s="25">
        <v>0.84</v>
      </c>
      <c r="G10" s="24">
        <v>23</v>
      </c>
      <c r="H10" s="26">
        <v>1.9</v>
      </c>
      <c r="I10" s="26">
        <v>1.1000000000000001</v>
      </c>
      <c r="J10" s="24">
        <v>8</v>
      </c>
      <c r="K10" s="24">
        <v>1</v>
      </c>
      <c r="L10" s="24">
        <v>166</v>
      </c>
      <c r="M10" s="26">
        <f>L10/D10</f>
        <v>5.7241379310344831</v>
      </c>
      <c r="N10" s="12"/>
    </row>
    <row r="11" spans="2:14" ht="15" customHeight="1">
      <c r="B11" s="27" t="s">
        <v>15</v>
      </c>
      <c r="C11" s="18" t="s">
        <v>38</v>
      </c>
      <c r="D11" s="24">
        <v>32</v>
      </c>
      <c r="E11" s="25">
        <v>0.40500000000000003</v>
      </c>
      <c r="F11" s="25">
        <v>0.84</v>
      </c>
      <c r="G11" s="24">
        <v>23</v>
      </c>
      <c r="H11" s="26">
        <v>1.7</v>
      </c>
      <c r="I11" s="26">
        <v>1</v>
      </c>
      <c r="J11" s="24">
        <v>8</v>
      </c>
      <c r="K11" s="24">
        <v>1</v>
      </c>
      <c r="L11" s="24">
        <v>168</v>
      </c>
      <c r="M11" s="26">
        <f>L11/D11</f>
        <v>5.25</v>
      </c>
      <c r="N11" s="12"/>
    </row>
    <row r="12" spans="2:14" ht="15" customHeight="1">
      <c r="B12" s="9"/>
      <c r="D12" s="10"/>
      <c r="E12" s="11"/>
      <c r="F12" s="11"/>
      <c r="G12" s="10"/>
      <c r="H12" s="12"/>
      <c r="I12" s="12"/>
      <c r="J12" s="10"/>
      <c r="K12" s="10"/>
      <c r="L12" s="10"/>
      <c r="M12" s="12"/>
      <c r="N12" s="12"/>
    </row>
    <row r="13" spans="2:14" ht="15" customHeight="1">
      <c r="B13" s="30" t="s">
        <v>207</v>
      </c>
    </row>
    <row r="14" spans="2:14" ht="15" customHeight="1">
      <c r="B14" s="19" t="s">
        <v>2</v>
      </c>
      <c r="C14" s="20" t="s">
        <v>3</v>
      </c>
      <c r="D14" s="21" t="s">
        <v>4</v>
      </c>
      <c r="E14" s="22" t="s">
        <v>5</v>
      </c>
      <c r="F14" s="22" t="s">
        <v>6</v>
      </c>
      <c r="G14" s="21" t="s">
        <v>7</v>
      </c>
      <c r="H14" s="23" t="s">
        <v>8</v>
      </c>
      <c r="I14" s="23" t="s">
        <v>9</v>
      </c>
      <c r="J14" s="21" t="s">
        <v>10</v>
      </c>
      <c r="K14" s="21" t="s">
        <v>11</v>
      </c>
      <c r="L14" s="21" t="s">
        <v>12</v>
      </c>
      <c r="M14" s="23" t="s">
        <v>13</v>
      </c>
      <c r="N14" s="8"/>
    </row>
    <row r="15" spans="2:14" ht="15" customHeight="1">
      <c r="B15" s="24">
        <v>2018</v>
      </c>
      <c r="C15" s="18" t="s">
        <v>73</v>
      </c>
      <c r="D15" s="24">
        <v>13</v>
      </c>
      <c r="E15" s="25">
        <v>0.44400000000000001</v>
      </c>
      <c r="F15" s="25">
        <v>1</v>
      </c>
      <c r="G15" s="24">
        <v>0</v>
      </c>
      <c r="H15" s="26">
        <v>2.7</v>
      </c>
      <c r="I15" s="26">
        <v>1.3</v>
      </c>
      <c r="J15" s="24">
        <v>9</v>
      </c>
      <c r="K15" s="24">
        <v>2</v>
      </c>
      <c r="L15" s="24">
        <v>27</v>
      </c>
      <c r="M15" s="26">
        <f>L15/D15</f>
        <v>2.0769230769230771</v>
      </c>
      <c r="N15" s="12"/>
    </row>
    <row r="16" spans="2:14" ht="15" customHeight="1">
      <c r="B16" s="27" t="s">
        <v>15</v>
      </c>
      <c r="C16" s="18" t="s">
        <v>50</v>
      </c>
      <c r="D16" s="24">
        <v>247</v>
      </c>
      <c r="E16" s="25">
        <v>0.55400000000000005</v>
      </c>
      <c r="F16" s="25">
        <v>0.749</v>
      </c>
      <c r="G16" s="24">
        <v>0</v>
      </c>
      <c r="H16" s="26">
        <v>5.4</v>
      </c>
      <c r="I16" s="26">
        <v>1.5</v>
      </c>
      <c r="J16" s="24">
        <v>242</v>
      </c>
      <c r="K16" s="24">
        <v>85</v>
      </c>
      <c r="L16" s="24">
        <v>1445</v>
      </c>
      <c r="M16" s="26">
        <f>L16/D16</f>
        <v>5.8502024291497978</v>
      </c>
      <c r="N16" s="12"/>
    </row>
    <row r="17" spans="2:14" ht="15" customHeight="1">
      <c r="B17" s="4"/>
      <c r="C17" s="5"/>
      <c r="D17" s="6"/>
      <c r="E17" s="7"/>
      <c r="F17" s="7"/>
      <c r="G17" s="6"/>
      <c r="H17" s="8"/>
      <c r="I17" s="8"/>
      <c r="J17" s="6"/>
      <c r="K17" s="6"/>
      <c r="L17" s="6"/>
      <c r="M17" s="8"/>
      <c r="N17" s="8"/>
    </row>
    <row r="18" spans="2:14" ht="15" customHeight="1">
      <c r="B18" s="30" t="s">
        <v>208</v>
      </c>
    </row>
    <row r="19" spans="2:14" ht="15" customHeight="1">
      <c r="B19" s="19" t="s">
        <v>2</v>
      </c>
      <c r="C19" s="20" t="s">
        <v>3</v>
      </c>
      <c r="D19" s="21" t="s">
        <v>4</v>
      </c>
      <c r="E19" s="22" t="s">
        <v>5</v>
      </c>
      <c r="F19" s="22" t="s">
        <v>6</v>
      </c>
      <c r="G19" s="21" t="s">
        <v>7</v>
      </c>
      <c r="H19" s="23" t="s">
        <v>8</v>
      </c>
      <c r="I19" s="23" t="s">
        <v>9</v>
      </c>
      <c r="J19" s="21" t="s">
        <v>10</v>
      </c>
      <c r="K19" s="21" t="s">
        <v>11</v>
      </c>
      <c r="L19" s="21" t="s">
        <v>12</v>
      </c>
      <c r="M19" s="23" t="s">
        <v>13</v>
      </c>
      <c r="N19" s="8"/>
    </row>
    <row r="20" spans="2:14" ht="15" customHeight="1">
      <c r="B20" s="24">
        <v>2022</v>
      </c>
      <c r="C20" s="18" t="s">
        <v>73</v>
      </c>
      <c r="D20" s="24">
        <v>15</v>
      </c>
      <c r="E20" s="25">
        <v>0.30399999999999999</v>
      </c>
      <c r="F20" s="25">
        <v>0.83299999999999996</v>
      </c>
      <c r="G20" s="24">
        <v>16</v>
      </c>
      <c r="H20" s="26">
        <v>3.8</v>
      </c>
      <c r="I20" s="26">
        <v>1.9</v>
      </c>
      <c r="J20" s="24">
        <v>3</v>
      </c>
      <c r="K20" s="24">
        <v>1</v>
      </c>
      <c r="L20" s="24">
        <v>77</v>
      </c>
      <c r="M20" s="26">
        <f>L20/D20</f>
        <v>5.1333333333333337</v>
      </c>
      <c r="N20" s="12"/>
    </row>
    <row r="21" spans="2:14" ht="15" customHeight="1">
      <c r="B21" s="27" t="s">
        <v>15</v>
      </c>
      <c r="C21" s="18" t="s">
        <v>25</v>
      </c>
      <c r="D21" s="24">
        <v>202</v>
      </c>
      <c r="E21" s="25">
        <v>0.42499999999999999</v>
      </c>
      <c r="F21" s="25">
        <v>0.78100000000000003</v>
      </c>
      <c r="G21" s="24">
        <v>169</v>
      </c>
      <c r="H21" s="26">
        <v>4.3</v>
      </c>
      <c r="I21" s="26">
        <v>1.6</v>
      </c>
      <c r="J21" s="24">
        <v>115</v>
      </c>
      <c r="K21" s="24">
        <v>72</v>
      </c>
      <c r="L21" s="24">
        <v>1550</v>
      </c>
      <c r="M21" s="26">
        <f>L21/D21</f>
        <v>7.673267326732673</v>
      </c>
      <c r="N21" s="12"/>
    </row>
    <row r="22" spans="2:14" ht="15" customHeight="1">
      <c r="B22" s="29"/>
    </row>
    <row r="23" spans="2:14" ht="15" customHeight="1">
      <c r="B23" s="32" t="s">
        <v>209</v>
      </c>
    </row>
    <row r="24" spans="2:14" ht="15" customHeight="1">
      <c r="B24" s="19" t="s">
        <v>2</v>
      </c>
      <c r="C24" s="20" t="s">
        <v>3</v>
      </c>
      <c r="D24" s="21" t="s">
        <v>4</v>
      </c>
      <c r="E24" s="22" t="s">
        <v>5</v>
      </c>
      <c r="F24" s="22" t="s">
        <v>6</v>
      </c>
      <c r="G24" s="21" t="s">
        <v>7</v>
      </c>
      <c r="H24" s="23" t="s">
        <v>8</v>
      </c>
      <c r="I24" s="23" t="s">
        <v>9</v>
      </c>
      <c r="J24" s="21" t="s">
        <v>10</v>
      </c>
      <c r="K24" s="21" t="s">
        <v>11</v>
      </c>
      <c r="L24" s="21" t="s">
        <v>12</v>
      </c>
      <c r="M24" s="23" t="s">
        <v>13</v>
      </c>
      <c r="N24" s="8"/>
    </row>
    <row r="25" spans="2:14" ht="15" customHeight="1">
      <c r="B25" s="24">
        <v>2019</v>
      </c>
      <c r="C25" s="18" t="s">
        <v>73</v>
      </c>
      <c r="D25" s="24">
        <v>6</v>
      </c>
      <c r="E25" s="25">
        <v>0.27800000000000002</v>
      </c>
      <c r="F25" s="25">
        <v>0.6</v>
      </c>
      <c r="G25" s="24">
        <v>3</v>
      </c>
      <c r="H25" s="26">
        <v>0.8</v>
      </c>
      <c r="I25" s="26">
        <v>1</v>
      </c>
      <c r="J25" s="24">
        <v>5</v>
      </c>
      <c r="K25" s="24">
        <v>1</v>
      </c>
      <c r="L25" s="24">
        <v>16</v>
      </c>
      <c r="M25" s="26">
        <f>L25/D25</f>
        <v>2.6666666666666665</v>
      </c>
      <c r="N25" s="12"/>
    </row>
    <row r="26" spans="2:14" ht="15" customHeight="1">
      <c r="B26" s="27" t="s">
        <v>15</v>
      </c>
      <c r="C26" s="18" t="s">
        <v>50</v>
      </c>
      <c r="D26" s="24">
        <v>241</v>
      </c>
      <c r="E26" s="25">
        <v>0.375</v>
      </c>
      <c r="F26" s="25">
        <v>0.79</v>
      </c>
      <c r="G26" s="24">
        <v>181</v>
      </c>
      <c r="H26" s="26">
        <v>3.7</v>
      </c>
      <c r="I26" s="26">
        <v>1.3</v>
      </c>
      <c r="J26" s="24">
        <v>259</v>
      </c>
      <c r="K26" s="24">
        <v>75</v>
      </c>
      <c r="L26" s="24">
        <v>1910</v>
      </c>
      <c r="M26" s="26">
        <f>L26/D26</f>
        <v>7.9253112033195023</v>
      </c>
      <c r="N26" s="12"/>
    </row>
    <row r="27" spans="2:14" s="28" customFormat="1" ht="15" customHeight="1">
      <c r="B27" s="9"/>
      <c r="C27" s="1"/>
      <c r="D27" s="10"/>
      <c r="E27" s="11"/>
      <c r="F27" s="11"/>
      <c r="G27" s="10"/>
      <c r="H27" s="12"/>
      <c r="I27" s="12"/>
      <c r="J27" s="10"/>
      <c r="K27" s="10"/>
      <c r="L27" s="10"/>
      <c r="M27" s="12"/>
      <c r="N27" s="12"/>
    </row>
    <row r="28" spans="2:14" ht="15" customHeight="1">
      <c r="B28" s="30" t="s">
        <v>210</v>
      </c>
    </row>
    <row r="29" spans="2:14" ht="15" customHeight="1">
      <c r="B29" s="19" t="s">
        <v>2</v>
      </c>
      <c r="C29" s="20" t="s">
        <v>3</v>
      </c>
      <c r="D29" s="21" t="s">
        <v>4</v>
      </c>
      <c r="E29" s="22" t="s">
        <v>5</v>
      </c>
      <c r="F29" s="22" t="s">
        <v>6</v>
      </c>
      <c r="G29" s="21" t="s">
        <v>7</v>
      </c>
      <c r="H29" s="23" t="s">
        <v>8</v>
      </c>
      <c r="I29" s="23" t="s">
        <v>9</v>
      </c>
      <c r="J29" s="21" t="s">
        <v>10</v>
      </c>
      <c r="K29" s="21" t="s">
        <v>11</v>
      </c>
      <c r="L29" s="21" t="s">
        <v>12</v>
      </c>
      <c r="M29" s="23" t="s">
        <v>13</v>
      </c>
      <c r="N29" s="8"/>
    </row>
    <row r="30" spans="2:14" ht="15" customHeight="1">
      <c r="B30" s="24">
        <v>2024</v>
      </c>
      <c r="C30" s="18" t="s">
        <v>73</v>
      </c>
      <c r="D30" s="24">
        <v>34</v>
      </c>
      <c r="E30" s="25">
        <v>0.49199999999999999</v>
      </c>
      <c r="F30" s="25">
        <v>0.80400000000000005</v>
      </c>
      <c r="G30" s="24">
        <v>31</v>
      </c>
      <c r="H30" s="26">
        <v>9.6999999999999993</v>
      </c>
      <c r="I30" s="26">
        <v>3.4</v>
      </c>
      <c r="J30" s="24">
        <v>65</v>
      </c>
      <c r="K30" s="24">
        <v>48</v>
      </c>
      <c r="L30" s="24">
        <v>694</v>
      </c>
      <c r="M30" s="26">
        <f>L30/D30</f>
        <v>20.411764705882351</v>
      </c>
      <c r="N30" s="12"/>
    </row>
    <row r="31" spans="2:14" ht="15" customHeight="1">
      <c r="B31" s="27" t="s">
        <v>15</v>
      </c>
      <c r="C31" s="18" t="s">
        <v>71</v>
      </c>
      <c r="D31" s="24">
        <v>160</v>
      </c>
      <c r="E31" s="25">
        <v>0.48299999999999998</v>
      </c>
      <c r="F31" s="25">
        <v>0.82499999999999996</v>
      </c>
      <c r="G31" s="24">
        <v>138</v>
      </c>
      <c r="H31" s="26">
        <v>7.9</v>
      </c>
      <c r="I31" s="26">
        <v>2.9</v>
      </c>
      <c r="J31" s="24">
        <v>271</v>
      </c>
      <c r="K31" s="24">
        <v>189</v>
      </c>
      <c r="L31" s="24">
        <v>2787</v>
      </c>
      <c r="M31" s="26">
        <f>L31/D31</f>
        <v>17.418749999999999</v>
      </c>
      <c r="N31" s="12"/>
    </row>
    <row r="32" spans="2:14" ht="15" customHeight="1">
      <c r="B32" s="29"/>
    </row>
    <row r="33" spans="2:14" ht="15" customHeight="1">
      <c r="B33" s="30" t="s">
        <v>211</v>
      </c>
    </row>
    <row r="34" spans="2:14" ht="15" customHeight="1">
      <c r="B34" s="19" t="s">
        <v>2</v>
      </c>
      <c r="C34" s="20" t="s">
        <v>3</v>
      </c>
      <c r="D34" s="21" t="s">
        <v>4</v>
      </c>
      <c r="E34" s="22" t="s">
        <v>5</v>
      </c>
      <c r="F34" s="22" t="s">
        <v>6</v>
      </c>
      <c r="G34" s="21" t="s">
        <v>7</v>
      </c>
      <c r="H34" s="23" t="s">
        <v>8</v>
      </c>
      <c r="I34" s="23" t="s">
        <v>9</v>
      </c>
      <c r="J34" s="21" t="s">
        <v>10</v>
      </c>
      <c r="K34" s="21" t="s">
        <v>11</v>
      </c>
      <c r="L34" s="21" t="s">
        <v>12</v>
      </c>
      <c r="M34" s="23" t="s">
        <v>13</v>
      </c>
      <c r="N34" s="8"/>
    </row>
    <row r="35" spans="2:14" ht="15" customHeight="1">
      <c r="B35" s="24">
        <v>2024</v>
      </c>
      <c r="C35" s="18" t="s">
        <v>73</v>
      </c>
      <c r="D35" s="24">
        <v>39</v>
      </c>
      <c r="E35" s="25">
        <v>0.44400000000000001</v>
      </c>
      <c r="F35" s="25">
        <v>0.78900000000000003</v>
      </c>
      <c r="G35" s="24">
        <v>91</v>
      </c>
      <c r="H35" s="26">
        <v>3.8</v>
      </c>
      <c r="I35" s="26">
        <v>2.2000000000000002</v>
      </c>
      <c r="J35" s="24">
        <v>39</v>
      </c>
      <c r="K35" s="24">
        <v>12</v>
      </c>
      <c r="L35" s="24">
        <v>373</v>
      </c>
      <c r="M35" s="26">
        <f>L35/D35</f>
        <v>9.5641025641025639</v>
      </c>
      <c r="N35" s="12"/>
    </row>
    <row r="36" spans="2:14" ht="15" customHeight="1">
      <c r="B36" s="27" t="s">
        <v>15</v>
      </c>
      <c r="C36" s="18" t="s">
        <v>71</v>
      </c>
      <c r="D36" s="24">
        <v>175</v>
      </c>
      <c r="E36" s="25">
        <v>0.42</v>
      </c>
      <c r="F36" s="25">
        <v>0.74</v>
      </c>
      <c r="G36" s="24">
        <v>199</v>
      </c>
      <c r="H36" s="26">
        <v>2.7</v>
      </c>
      <c r="I36" s="26">
        <v>1.5</v>
      </c>
      <c r="J36" s="24">
        <v>108</v>
      </c>
      <c r="K36" s="24">
        <v>26</v>
      </c>
      <c r="L36" s="24">
        <v>953</v>
      </c>
      <c r="M36" s="26">
        <f>L36/D36</f>
        <v>5.4457142857142857</v>
      </c>
      <c r="N36" s="12"/>
    </row>
    <row r="37" spans="2:14" ht="15" customHeight="1">
      <c r="B37" s="29"/>
    </row>
    <row r="38" spans="2:14" ht="15" customHeight="1">
      <c r="B38" s="30" t="s">
        <v>212</v>
      </c>
    </row>
    <row r="39" spans="2:14" ht="15" customHeight="1">
      <c r="B39" s="19" t="s">
        <v>2</v>
      </c>
      <c r="C39" s="20" t="s">
        <v>3</v>
      </c>
      <c r="D39" s="21" t="s">
        <v>4</v>
      </c>
      <c r="E39" s="22" t="s">
        <v>5</v>
      </c>
      <c r="F39" s="22" t="s">
        <v>6</v>
      </c>
      <c r="G39" s="21" t="s">
        <v>7</v>
      </c>
      <c r="H39" s="23" t="s">
        <v>8</v>
      </c>
      <c r="I39" s="23" t="s">
        <v>9</v>
      </c>
      <c r="J39" s="21" t="s">
        <v>10</v>
      </c>
      <c r="K39" s="21" t="s">
        <v>11</v>
      </c>
      <c r="L39" s="21" t="s">
        <v>12</v>
      </c>
      <c r="M39" s="23" t="s">
        <v>13</v>
      </c>
      <c r="N39" s="8"/>
    </row>
    <row r="40" spans="2:14" ht="15" customHeight="1">
      <c r="B40" s="24">
        <v>2024</v>
      </c>
      <c r="C40" s="18" t="s">
        <v>73</v>
      </c>
      <c r="D40" s="24">
        <v>39</v>
      </c>
      <c r="E40" s="25">
        <v>0.42</v>
      </c>
      <c r="F40" s="25">
        <v>0.89300000000000002</v>
      </c>
      <c r="G40" s="24">
        <v>105</v>
      </c>
      <c r="H40" s="26">
        <v>2.6</v>
      </c>
      <c r="I40" s="26">
        <v>3.2</v>
      </c>
      <c r="J40" s="24">
        <v>49</v>
      </c>
      <c r="K40" s="24">
        <v>2</v>
      </c>
      <c r="L40" s="24">
        <v>586</v>
      </c>
      <c r="M40" s="26">
        <f>L40/D40</f>
        <v>15.025641025641026</v>
      </c>
      <c r="N40" s="12"/>
    </row>
    <row r="41" spans="2:14" ht="15" customHeight="1">
      <c r="B41" s="27" t="s">
        <v>15</v>
      </c>
      <c r="C41" s="18" t="s">
        <v>16</v>
      </c>
      <c r="D41" s="24">
        <v>335</v>
      </c>
      <c r="E41" s="25">
        <v>0.41199999999999998</v>
      </c>
      <c r="F41" s="25">
        <v>0.89500000000000002</v>
      </c>
      <c r="G41" s="24">
        <v>619</v>
      </c>
      <c r="H41" s="26">
        <v>3.3</v>
      </c>
      <c r="I41" s="26">
        <v>2.4</v>
      </c>
      <c r="J41" s="24">
        <v>368</v>
      </c>
      <c r="K41" s="24">
        <v>38</v>
      </c>
      <c r="L41" s="24">
        <v>4835</v>
      </c>
      <c r="M41" s="26">
        <f>L41/D41</f>
        <v>14.432835820895523</v>
      </c>
      <c r="N41" s="12"/>
    </row>
    <row r="43" spans="2:14" ht="15" customHeight="1">
      <c r="B43" s="30" t="s">
        <v>213</v>
      </c>
    </row>
    <row r="44" spans="2:14" ht="15" customHeight="1">
      <c r="B44" s="19" t="s">
        <v>2</v>
      </c>
      <c r="C44" s="20" t="s">
        <v>3</v>
      </c>
      <c r="D44" s="21" t="s">
        <v>4</v>
      </c>
      <c r="E44" s="22" t="s">
        <v>5</v>
      </c>
      <c r="F44" s="22" t="s">
        <v>6</v>
      </c>
      <c r="G44" s="21" t="s">
        <v>7</v>
      </c>
      <c r="H44" s="23" t="s">
        <v>8</v>
      </c>
      <c r="I44" s="23" t="s">
        <v>9</v>
      </c>
      <c r="J44" s="21" t="s">
        <v>10</v>
      </c>
      <c r="K44" s="21" t="s">
        <v>11</v>
      </c>
      <c r="L44" s="21" t="s">
        <v>12</v>
      </c>
      <c r="M44" s="23" t="s">
        <v>13</v>
      </c>
      <c r="N44" s="8"/>
    </row>
    <row r="45" spans="2:14" ht="15" customHeight="1">
      <c r="B45" s="24">
        <v>2021</v>
      </c>
      <c r="C45" s="18" t="s">
        <v>73</v>
      </c>
      <c r="D45" s="24">
        <v>21</v>
      </c>
      <c r="E45" s="25">
        <v>0.42599999999999999</v>
      </c>
      <c r="F45" s="25">
        <v>0.89300000000000002</v>
      </c>
      <c r="G45" s="24">
        <v>0</v>
      </c>
      <c r="H45" s="26">
        <v>2.1</v>
      </c>
      <c r="I45" s="26">
        <v>1.2</v>
      </c>
      <c r="J45" s="24">
        <v>12</v>
      </c>
      <c r="K45" s="24">
        <v>5</v>
      </c>
      <c r="L45" s="24">
        <v>77</v>
      </c>
      <c r="M45" s="26">
        <f>L45/D45</f>
        <v>3.6666666666666665</v>
      </c>
      <c r="N45" s="12"/>
    </row>
    <row r="46" spans="2:14" ht="15" customHeight="1">
      <c r="B46" s="27" t="s">
        <v>15</v>
      </c>
      <c r="C46" s="18" t="s">
        <v>18</v>
      </c>
      <c r="D46" s="24">
        <v>189</v>
      </c>
      <c r="E46" s="25">
        <v>0.52</v>
      </c>
      <c r="F46" s="25">
        <v>0.80700000000000005</v>
      </c>
      <c r="G46" s="24">
        <v>3</v>
      </c>
      <c r="H46" s="26">
        <v>4.3</v>
      </c>
      <c r="I46" s="26">
        <v>1</v>
      </c>
      <c r="J46" s="24">
        <v>106</v>
      </c>
      <c r="K46" s="24">
        <v>90</v>
      </c>
      <c r="L46" s="24">
        <v>1378</v>
      </c>
      <c r="M46" s="26">
        <f>L46/D46</f>
        <v>7.2910052910052912</v>
      </c>
      <c r="N46" s="12"/>
    </row>
    <row r="48" spans="2:14" ht="15" customHeight="1">
      <c r="B48" s="30" t="s">
        <v>214</v>
      </c>
    </row>
    <row r="49" spans="2:14" ht="15" customHeight="1">
      <c r="B49" s="19" t="s">
        <v>2</v>
      </c>
      <c r="C49" s="20" t="s">
        <v>3</v>
      </c>
      <c r="D49" s="21" t="s">
        <v>4</v>
      </c>
      <c r="E49" s="22" t="s">
        <v>5</v>
      </c>
      <c r="F49" s="22" t="s">
        <v>6</v>
      </c>
      <c r="G49" s="21" t="s">
        <v>7</v>
      </c>
      <c r="H49" s="23" t="s">
        <v>8</v>
      </c>
      <c r="I49" s="23" t="s">
        <v>9</v>
      </c>
      <c r="J49" s="21" t="s">
        <v>10</v>
      </c>
      <c r="K49" s="21" t="s">
        <v>11</v>
      </c>
      <c r="L49" s="21" t="s">
        <v>12</v>
      </c>
      <c r="M49" s="23" t="s">
        <v>13</v>
      </c>
      <c r="N49" s="8"/>
    </row>
    <row r="50" spans="2:14" ht="15" customHeight="1">
      <c r="B50" s="24">
        <v>2021</v>
      </c>
      <c r="C50" s="18" t="s">
        <v>215</v>
      </c>
      <c r="D50" s="24">
        <v>4</v>
      </c>
      <c r="E50" s="25">
        <v>0.66700000000000004</v>
      </c>
      <c r="F50" s="25">
        <v>1</v>
      </c>
      <c r="G50" s="24">
        <v>0</v>
      </c>
      <c r="H50" s="26">
        <v>1</v>
      </c>
      <c r="I50" s="26">
        <v>0</v>
      </c>
      <c r="J50" s="24">
        <v>0</v>
      </c>
      <c r="K50" s="24">
        <v>0</v>
      </c>
      <c r="L50" s="24">
        <v>6</v>
      </c>
      <c r="M50" s="26">
        <f>L50/D50</f>
        <v>1.5</v>
      </c>
      <c r="N50" s="12"/>
    </row>
    <row r="51" spans="2:14" ht="15" customHeight="1">
      <c r="B51" s="27" t="s">
        <v>15</v>
      </c>
      <c r="C51" s="18" t="s">
        <v>40</v>
      </c>
      <c r="D51" s="24">
        <v>4</v>
      </c>
      <c r="E51" s="25">
        <v>0.66700000000000004</v>
      </c>
      <c r="F51" s="25">
        <v>1</v>
      </c>
      <c r="G51" s="24">
        <v>0</v>
      </c>
      <c r="H51" s="26">
        <v>1</v>
      </c>
      <c r="I51" s="26">
        <v>0</v>
      </c>
      <c r="J51" s="24">
        <v>0</v>
      </c>
      <c r="K51" s="24">
        <v>0</v>
      </c>
      <c r="L51" s="24">
        <v>6</v>
      </c>
      <c r="M51" s="26">
        <f>L51/D51</f>
        <v>1.5</v>
      </c>
      <c r="N51" s="12"/>
    </row>
    <row r="53" spans="2:14" ht="15" customHeight="1">
      <c r="B53" s="30" t="s">
        <v>216</v>
      </c>
    </row>
    <row r="54" spans="2:14" ht="15" customHeight="1">
      <c r="B54" s="19" t="s">
        <v>2</v>
      </c>
      <c r="C54" s="20" t="s">
        <v>3</v>
      </c>
      <c r="D54" s="21" t="s">
        <v>4</v>
      </c>
      <c r="E54" s="22" t="s">
        <v>5</v>
      </c>
      <c r="F54" s="22" t="s">
        <v>6</v>
      </c>
      <c r="G54" s="21" t="s">
        <v>7</v>
      </c>
      <c r="H54" s="23" t="s">
        <v>8</v>
      </c>
      <c r="I54" s="23" t="s">
        <v>9</v>
      </c>
      <c r="J54" s="21" t="s">
        <v>10</v>
      </c>
      <c r="K54" s="21" t="s">
        <v>11</v>
      </c>
      <c r="L54" s="21" t="s">
        <v>12</v>
      </c>
      <c r="M54" s="23" t="s">
        <v>13</v>
      </c>
      <c r="N54" s="8"/>
    </row>
    <row r="55" spans="2:14" ht="15" customHeight="1">
      <c r="B55" s="24">
        <v>2023</v>
      </c>
      <c r="C55" s="18" t="s">
        <v>73</v>
      </c>
      <c r="D55" s="24">
        <v>21</v>
      </c>
      <c r="E55" s="25">
        <v>0.51600000000000001</v>
      </c>
      <c r="F55" s="25">
        <v>0.77400000000000002</v>
      </c>
      <c r="G55" s="24">
        <v>0</v>
      </c>
      <c r="H55" s="26">
        <v>7.1</v>
      </c>
      <c r="I55" s="26">
        <v>3.2</v>
      </c>
      <c r="J55" s="24">
        <v>12</v>
      </c>
      <c r="K55" s="24">
        <v>2</v>
      </c>
      <c r="L55" s="24">
        <v>171</v>
      </c>
      <c r="M55" s="26">
        <f>L55/D55</f>
        <v>8.1428571428571423</v>
      </c>
      <c r="N55" s="12"/>
    </row>
    <row r="56" spans="2:14" ht="15" customHeight="1">
      <c r="B56" s="27" t="s">
        <v>15</v>
      </c>
      <c r="C56" s="18" t="s">
        <v>31</v>
      </c>
      <c r="D56" s="24">
        <v>85</v>
      </c>
      <c r="E56" s="25">
        <v>0.48299999999999998</v>
      </c>
      <c r="F56" s="25">
        <v>0.749</v>
      </c>
      <c r="G56" s="24">
        <v>8</v>
      </c>
      <c r="H56" s="26">
        <v>6.1</v>
      </c>
      <c r="I56" s="26">
        <v>2.7</v>
      </c>
      <c r="J56" s="24">
        <v>31</v>
      </c>
      <c r="K56" s="24">
        <v>19</v>
      </c>
      <c r="L56" s="24">
        <v>536</v>
      </c>
      <c r="M56" s="26">
        <f>L56/D56</f>
        <v>6.3058823529411763</v>
      </c>
      <c r="N56" s="12"/>
    </row>
    <row r="58" spans="2:14" ht="15" customHeight="1">
      <c r="B58" s="30" t="s">
        <v>217</v>
      </c>
    </row>
    <row r="59" spans="2:14" ht="15" customHeight="1">
      <c r="B59" s="19" t="s">
        <v>2</v>
      </c>
      <c r="C59" s="20" t="s">
        <v>3</v>
      </c>
      <c r="D59" s="21" t="s">
        <v>4</v>
      </c>
      <c r="E59" s="22" t="s">
        <v>5</v>
      </c>
      <c r="F59" s="22" t="s">
        <v>6</v>
      </c>
      <c r="G59" s="21" t="s">
        <v>7</v>
      </c>
      <c r="H59" s="23" t="s">
        <v>8</v>
      </c>
      <c r="I59" s="23" t="s">
        <v>9</v>
      </c>
      <c r="J59" s="21" t="s">
        <v>10</v>
      </c>
      <c r="K59" s="21" t="s">
        <v>11</v>
      </c>
      <c r="L59" s="21" t="s">
        <v>12</v>
      </c>
      <c r="M59" s="23" t="s">
        <v>13</v>
      </c>
      <c r="N59" s="8"/>
    </row>
    <row r="60" spans="2:14" ht="15" customHeight="1">
      <c r="B60" s="24">
        <v>2022</v>
      </c>
      <c r="C60" s="18" t="s">
        <v>73</v>
      </c>
      <c r="D60" s="24">
        <v>2</v>
      </c>
      <c r="E60" s="25">
        <v>0.375</v>
      </c>
      <c r="F60" s="25">
        <v>1</v>
      </c>
      <c r="G60" s="24">
        <v>0</v>
      </c>
      <c r="H60" s="26">
        <v>3</v>
      </c>
      <c r="I60" s="26">
        <v>1</v>
      </c>
      <c r="J60" s="24">
        <v>1</v>
      </c>
      <c r="K60" s="24">
        <v>2</v>
      </c>
      <c r="L60" s="24">
        <v>12</v>
      </c>
      <c r="M60" s="26">
        <f>L60/D60</f>
        <v>6</v>
      </c>
      <c r="N60" s="12"/>
    </row>
    <row r="61" spans="2:14" ht="15" customHeight="1">
      <c r="B61" s="27" t="s">
        <v>15</v>
      </c>
      <c r="C61" s="18" t="s">
        <v>42</v>
      </c>
      <c r="D61" s="24">
        <v>311</v>
      </c>
      <c r="E61" s="25">
        <v>0.42899999999999999</v>
      </c>
      <c r="F61" s="25">
        <v>0.80200000000000005</v>
      </c>
      <c r="G61" s="24">
        <v>249</v>
      </c>
      <c r="H61" s="26">
        <v>5</v>
      </c>
      <c r="I61" s="26">
        <v>2.9</v>
      </c>
      <c r="J61" s="24">
        <v>627</v>
      </c>
      <c r="K61" s="24">
        <v>193</v>
      </c>
      <c r="L61" s="24">
        <v>5797</v>
      </c>
      <c r="M61" s="26">
        <f>L61/D61</f>
        <v>18.639871382636656</v>
      </c>
      <c r="N61" s="12"/>
    </row>
    <row r="62" spans="2:14" ht="15" customHeight="1">
      <c r="D62" s="14"/>
    </row>
    <row r="63" spans="2:14" ht="15" customHeight="1">
      <c r="B63" s="30" t="s">
        <v>218</v>
      </c>
    </row>
    <row r="64" spans="2:14" ht="15" customHeight="1">
      <c r="B64" s="19" t="s">
        <v>2</v>
      </c>
      <c r="C64" s="20" t="s">
        <v>3</v>
      </c>
      <c r="D64" s="21" t="s">
        <v>4</v>
      </c>
      <c r="E64" s="22" t="s">
        <v>5</v>
      </c>
      <c r="F64" s="22" t="s">
        <v>6</v>
      </c>
      <c r="G64" s="21" t="s">
        <v>7</v>
      </c>
      <c r="H64" s="23" t="s">
        <v>8</v>
      </c>
      <c r="I64" s="23" t="s">
        <v>9</v>
      </c>
      <c r="J64" s="21" t="s">
        <v>10</v>
      </c>
      <c r="K64" s="21" t="s">
        <v>11</v>
      </c>
      <c r="L64" s="21" t="s">
        <v>12</v>
      </c>
      <c r="M64" s="23" t="s">
        <v>13</v>
      </c>
      <c r="N64" s="8"/>
    </row>
    <row r="65" spans="2:14" ht="15" customHeight="1">
      <c r="B65" s="24">
        <v>2022</v>
      </c>
      <c r="C65" s="18" t="s">
        <v>73</v>
      </c>
      <c r="D65" s="24">
        <v>31</v>
      </c>
      <c r="E65" s="25">
        <v>0.54800000000000004</v>
      </c>
      <c r="F65" s="25">
        <v>0.73799999999999999</v>
      </c>
      <c r="G65" s="24">
        <v>6</v>
      </c>
      <c r="H65" s="26">
        <v>3</v>
      </c>
      <c r="I65" s="26">
        <v>0.7</v>
      </c>
      <c r="J65" s="24">
        <v>10</v>
      </c>
      <c r="K65" s="24">
        <v>8</v>
      </c>
      <c r="L65" s="24">
        <v>185</v>
      </c>
      <c r="M65" s="26">
        <f>L65/D65</f>
        <v>5.967741935483871</v>
      </c>
      <c r="N65" s="12"/>
    </row>
    <row r="66" spans="2:14" ht="15" customHeight="1">
      <c r="B66" s="27" t="s">
        <v>15</v>
      </c>
      <c r="C66" s="18" t="s">
        <v>40</v>
      </c>
      <c r="D66" s="24">
        <v>31</v>
      </c>
      <c r="E66" s="25">
        <v>0.54800000000000004</v>
      </c>
      <c r="F66" s="25">
        <v>0.73799999999999999</v>
      </c>
      <c r="G66" s="24">
        <v>6</v>
      </c>
      <c r="H66" s="26">
        <v>3</v>
      </c>
      <c r="I66" s="26">
        <v>0.7</v>
      </c>
      <c r="J66" s="24">
        <v>10</v>
      </c>
      <c r="K66" s="24">
        <v>8</v>
      </c>
      <c r="L66" s="24">
        <v>185</v>
      </c>
      <c r="M66" s="26">
        <f>L66/D66</f>
        <v>5.967741935483871</v>
      </c>
      <c r="N66" s="12"/>
    </row>
    <row r="68" spans="2:14" ht="15" customHeight="1">
      <c r="B68" s="30" t="s">
        <v>219</v>
      </c>
    </row>
    <row r="69" spans="2:14" ht="15" customHeight="1">
      <c r="B69" s="19" t="s">
        <v>2</v>
      </c>
      <c r="C69" s="20" t="s">
        <v>3</v>
      </c>
      <c r="D69" s="21" t="s">
        <v>4</v>
      </c>
      <c r="E69" s="22" t="s">
        <v>5</v>
      </c>
      <c r="F69" s="22" t="s">
        <v>6</v>
      </c>
      <c r="G69" s="21" t="s">
        <v>7</v>
      </c>
      <c r="H69" s="23" t="s">
        <v>8</v>
      </c>
      <c r="I69" s="23" t="s">
        <v>9</v>
      </c>
      <c r="J69" s="21" t="s">
        <v>10</v>
      </c>
      <c r="K69" s="21" t="s">
        <v>11</v>
      </c>
      <c r="L69" s="21" t="s">
        <v>12</v>
      </c>
      <c r="M69" s="23" t="s">
        <v>13</v>
      </c>
      <c r="N69" s="8"/>
    </row>
    <row r="70" spans="2:14" ht="15" customHeight="1">
      <c r="B70" s="24">
        <v>2024</v>
      </c>
      <c r="C70" s="18" t="s">
        <v>73</v>
      </c>
      <c r="D70" s="24">
        <v>21</v>
      </c>
      <c r="E70" s="25">
        <v>0.30399999999999999</v>
      </c>
      <c r="F70" s="25">
        <v>0.58299999999999996</v>
      </c>
      <c r="G70" s="24">
        <v>5</v>
      </c>
      <c r="H70" s="26">
        <v>1.8</v>
      </c>
      <c r="I70" s="26">
        <v>0.6</v>
      </c>
      <c r="J70" s="24">
        <v>7</v>
      </c>
      <c r="K70" s="24">
        <v>1</v>
      </c>
      <c r="L70" s="24">
        <v>61</v>
      </c>
      <c r="M70" s="26">
        <f>L70/D70</f>
        <v>2.9047619047619047</v>
      </c>
      <c r="N70" s="12"/>
    </row>
    <row r="71" spans="2:14" ht="15" customHeight="1">
      <c r="B71" s="27" t="s">
        <v>15</v>
      </c>
      <c r="C71" s="18" t="s">
        <v>38</v>
      </c>
      <c r="D71" s="24">
        <v>53</v>
      </c>
      <c r="E71" s="25">
        <v>0.38700000000000001</v>
      </c>
      <c r="F71" s="25">
        <v>0.75</v>
      </c>
      <c r="G71" s="24">
        <v>36</v>
      </c>
      <c r="H71" s="26">
        <v>2.8</v>
      </c>
      <c r="I71" s="26">
        <v>1.8</v>
      </c>
      <c r="J71" s="24">
        <v>37</v>
      </c>
      <c r="K71" s="24">
        <v>12</v>
      </c>
      <c r="L71" s="24">
        <v>448</v>
      </c>
      <c r="M71" s="26">
        <f>L71/D71</f>
        <v>8.4528301886792452</v>
      </c>
      <c r="N71" s="12"/>
    </row>
    <row r="73" spans="2:14" ht="15" customHeight="1">
      <c r="B73" s="30" t="s">
        <v>220</v>
      </c>
    </row>
    <row r="74" spans="2:14" ht="15" customHeight="1">
      <c r="B74" s="19" t="s">
        <v>2</v>
      </c>
      <c r="C74" s="20" t="s">
        <v>3</v>
      </c>
      <c r="D74" s="21" t="s">
        <v>4</v>
      </c>
      <c r="E74" s="22" t="s">
        <v>5</v>
      </c>
      <c r="F74" s="22" t="s">
        <v>6</v>
      </c>
      <c r="G74" s="21" t="s">
        <v>7</v>
      </c>
      <c r="H74" s="23" t="s">
        <v>8</v>
      </c>
      <c r="I74" s="23" t="s">
        <v>9</v>
      </c>
      <c r="J74" s="21" t="s">
        <v>10</v>
      </c>
      <c r="K74" s="21" t="s">
        <v>11</v>
      </c>
      <c r="L74" s="21" t="s">
        <v>12</v>
      </c>
      <c r="M74" s="23" t="s">
        <v>13</v>
      </c>
      <c r="N74" s="8"/>
    </row>
    <row r="75" spans="2:14" ht="15" customHeight="1">
      <c r="B75" s="24">
        <v>2024</v>
      </c>
      <c r="C75" s="18" t="s">
        <v>73</v>
      </c>
      <c r="D75" s="24">
        <v>34</v>
      </c>
      <c r="E75" s="25">
        <v>0.47899999999999998</v>
      </c>
      <c r="F75" s="25">
        <v>0.65</v>
      </c>
      <c r="G75" s="24">
        <v>11</v>
      </c>
      <c r="H75" s="26">
        <v>3.8</v>
      </c>
      <c r="I75" s="26">
        <v>1.1000000000000001</v>
      </c>
      <c r="J75" s="24">
        <v>15</v>
      </c>
      <c r="K75" s="24">
        <v>13</v>
      </c>
      <c r="L75" s="24">
        <v>162</v>
      </c>
      <c r="M75" s="26">
        <f>L75/D75</f>
        <v>4.7647058823529411</v>
      </c>
      <c r="N75" s="12"/>
    </row>
    <row r="76" spans="2:14" ht="15" customHeight="1">
      <c r="B76" s="27" t="s">
        <v>15</v>
      </c>
      <c r="C76" s="18" t="s">
        <v>38</v>
      </c>
      <c r="D76" s="24">
        <v>72</v>
      </c>
      <c r="E76" s="25">
        <v>0.47499999999999998</v>
      </c>
      <c r="F76" s="25">
        <v>0.57099999999999995</v>
      </c>
      <c r="G76" s="24">
        <v>24</v>
      </c>
      <c r="H76" s="26">
        <v>5.2</v>
      </c>
      <c r="I76" s="26">
        <v>1.9</v>
      </c>
      <c r="J76" s="24">
        <v>51</v>
      </c>
      <c r="K76" s="24">
        <v>36</v>
      </c>
      <c r="L76" s="24">
        <v>390</v>
      </c>
      <c r="M76" s="26">
        <f>L76/D76</f>
        <v>5.416666666666667</v>
      </c>
      <c r="N76" s="12"/>
    </row>
    <row r="78" spans="2:14" ht="15" customHeight="1">
      <c r="B78" s="30" t="s">
        <v>221</v>
      </c>
    </row>
    <row r="79" spans="2:14" ht="15" customHeight="1">
      <c r="B79" s="19" t="s">
        <v>2</v>
      </c>
      <c r="C79" s="20" t="s">
        <v>3</v>
      </c>
      <c r="D79" s="21" t="s">
        <v>4</v>
      </c>
      <c r="E79" s="22" t="s">
        <v>5</v>
      </c>
      <c r="F79" s="22" t="s">
        <v>6</v>
      </c>
      <c r="G79" s="21" t="s">
        <v>7</v>
      </c>
      <c r="H79" s="23" t="s">
        <v>8</v>
      </c>
      <c r="I79" s="23" t="s">
        <v>9</v>
      </c>
      <c r="J79" s="21" t="s">
        <v>10</v>
      </c>
      <c r="K79" s="21" t="s">
        <v>11</v>
      </c>
      <c r="L79" s="21" t="s">
        <v>12</v>
      </c>
      <c r="M79" s="23" t="s">
        <v>13</v>
      </c>
    </row>
    <row r="80" spans="2:14" ht="15" customHeight="1">
      <c r="B80" s="24">
        <v>2024</v>
      </c>
      <c r="C80" s="18" t="s">
        <v>73</v>
      </c>
      <c r="D80" s="24">
        <v>22</v>
      </c>
      <c r="E80" s="25">
        <v>0.42199999999999999</v>
      </c>
      <c r="F80" s="25">
        <v>0.54500000000000004</v>
      </c>
      <c r="G80" s="24">
        <v>9</v>
      </c>
      <c r="H80" s="26">
        <v>1.2</v>
      </c>
      <c r="I80" s="26">
        <v>0.2</v>
      </c>
      <c r="J80" s="24">
        <v>5</v>
      </c>
      <c r="K80" s="24">
        <v>2</v>
      </c>
      <c r="L80" s="24">
        <v>53</v>
      </c>
      <c r="M80" s="26">
        <f>L80/D80</f>
        <v>2.4090909090909092</v>
      </c>
    </row>
    <row r="81" spans="2:14" ht="15" customHeight="1">
      <c r="B81" s="27" t="s">
        <v>15</v>
      </c>
      <c r="C81" s="18" t="s">
        <v>222</v>
      </c>
      <c r="D81" s="24">
        <v>22</v>
      </c>
      <c r="E81" s="25">
        <v>0.42199999999999999</v>
      </c>
      <c r="F81" s="25">
        <v>0.54500000000000004</v>
      </c>
      <c r="G81" s="24">
        <v>9</v>
      </c>
      <c r="H81" s="26">
        <v>1.2</v>
      </c>
      <c r="I81" s="26">
        <v>0.2</v>
      </c>
      <c r="J81" s="24">
        <v>5</v>
      </c>
      <c r="K81" s="24">
        <v>2</v>
      </c>
      <c r="L81" s="24">
        <v>53</v>
      </c>
      <c r="M81" s="26">
        <f>L81/D81</f>
        <v>2.4090909090909092</v>
      </c>
    </row>
    <row r="83" spans="2:14" ht="15" customHeight="1">
      <c r="B83" s="30" t="s">
        <v>223</v>
      </c>
    </row>
    <row r="84" spans="2:14" ht="15" customHeight="1">
      <c r="B84" s="19" t="s">
        <v>2</v>
      </c>
      <c r="C84" s="20" t="s">
        <v>3</v>
      </c>
      <c r="D84" s="21" t="s">
        <v>4</v>
      </c>
      <c r="E84" s="22" t="s">
        <v>5</v>
      </c>
      <c r="F84" s="22" t="s">
        <v>6</v>
      </c>
      <c r="G84" s="21" t="s">
        <v>7</v>
      </c>
      <c r="H84" s="23" t="s">
        <v>8</v>
      </c>
      <c r="I84" s="23" t="s">
        <v>9</v>
      </c>
      <c r="J84" s="21" t="s">
        <v>10</v>
      </c>
      <c r="K84" s="21" t="s">
        <v>11</v>
      </c>
      <c r="L84" s="21" t="s">
        <v>12</v>
      </c>
      <c r="M84" s="23" t="s">
        <v>13</v>
      </c>
    </row>
    <row r="85" spans="2:14" ht="15" customHeight="1">
      <c r="B85" s="24">
        <v>2024</v>
      </c>
      <c r="C85" s="18" t="s">
        <v>73</v>
      </c>
      <c r="D85" s="24">
        <v>17</v>
      </c>
      <c r="E85" s="25">
        <v>0.375</v>
      </c>
      <c r="F85" s="25">
        <v>1</v>
      </c>
      <c r="G85" s="24">
        <v>0</v>
      </c>
      <c r="H85" s="26">
        <v>1.1000000000000001</v>
      </c>
      <c r="I85" s="26">
        <v>1.5</v>
      </c>
      <c r="J85" s="24">
        <v>14</v>
      </c>
      <c r="K85" s="24">
        <v>0</v>
      </c>
      <c r="L85" s="24">
        <v>14</v>
      </c>
      <c r="M85" s="26">
        <f>L85/D85</f>
        <v>0.82352941176470584</v>
      </c>
    </row>
    <row r="86" spans="2:14" ht="15" customHeight="1">
      <c r="B86" s="27" t="s">
        <v>15</v>
      </c>
      <c r="C86" s="18" t="s">
        <v>222</v>
      </c>
      <c r="D86" s="24">
        <v>17</v>
      </c>
      <c r="E86" s="25">
        <v>0.375</v>
      </c>
      <c r="F86" s="25">
        <v>1</v>
      </c>
      <c r="G86" s="24">
        <v>0</v>
      </c>
      <c r="H86" s="26">
        <v>1.1000000000000001</v>
      </c>
      <c r="I86" s="26">
        <v>1.5</v>
      </c>
      <c r="J86" s="24">
        <v>14</v>
      </c>
      <c r="K86" s="24">
        <v>0</v>
      </c>
      <c r="L86" s="24">
        <v>14</v>
      </c>
      <c r="M86" s="26">
        <f>L86/D86</f>
        <v>0.82352941176470584</v>
      </c>
    </row>
    <row r="88" spans="2:14" ht="15" customHeight="1">
      <c r="B88" s="30" t="s">
        <v>224</v>
      </c>
    </row>
    <row r="89" spans="2:14" ht="15" customHeight="1">
      <c r="B89" s="19" t="s">
        <v>2</v>
      </c>
      <c r="C89" s="20" t="s">
        <v>3</v>
      </c>
      <c r="D89" s="21" t="s">
        <v>4</v>
      </c>
      <c r="E89" s="22" t="s">
        <v>5</v>
      </c>
      <c r="F89" s="22" t="s">
        <v>6</v>
      </c>
      <c r="G89" s="21" t="s">
        <v>7</v>
      </c>
      <c r="H89" s="23" t="s">
        <v>8</v>
      </c>
      <c r="I89" s="23" t="s">
        <v>9</v>
      </c>
      <c r="J89" s="21" t="s">
        <v>10</v>
      </c>
      <c r="K89" s="21" t="s">
        <v>11</v>
      </c>
      <c r="L89" s="21" t="s">
        <v>12</v>
      </c>
      <c r="M89" s="23" t="s">
        <v>13</v>
      </c>
      <c r="N89" s="8"/>
    </row>
    <row r="90" spans="2:14" ht="15" customHeight="1">
      <c r="B90" s="24">
        <v>2024</v>
      </c>
      <c r="C90" s="18" t="s">
        <v>73</v>
      </c>
      <c r="D90" s="24">
        <v>40</v>
      </c>
      <c r="E90" s="25">
        <v>0.38</v>
      </c>
      <c r="F90" s="25">
        <v>0.73499999999999999</v>
      </c>
      <c r="G90" s="24">
        <v>23</v>
      </c>
      <c r="H90" s="26">
        <v>1.2</v>
      </c>
      <c r="I90" s="26">
        <v>1.6</v>
      </c>
      <c r="J90" s="24">
        <v>32</v>
      </c>
      <c r="K90" s="24">
        <v>6</v>
      </c>
      <c r="L90" s="24">
        <v>194</v>
      </c>
      <c r="M90" s="26">
        <f>L90/D90</f>
        <v>4.8499999999999996</v>
      </c>
      <c r="N90" s="12"/>
    </row>
    <row r="91" spans="2:14" ht="15" customHeight="1">
      <c r="B91" s="27" t="s">
        <v>15</v>
      </c>
      <c r="C91" s="18" t="s">
        <v>71</v>
      </c>
      <c r="D91" s="24">
        <v>190</v>
      </c>
      <c r="E91" s="25">
        <v>0.39700000000000002</v>
      </c>
      <c r="F91" s="25">
        <v>0.70599999999999996</v>
      </c>
      <c r="G91" s="24">
        <v>238</v>
      </c>
      <c r="H91" s="26">
        <v>1.8</v>
      </c>
      <c r="I91" s="26">
        <v>2.4</v>
      </c>
      <c r="J91" s="24">
        <v>152</v>
      </c>
      <c r="K91" s="24">
        <v>22</v>
      </c>
      <c r="L91" s="24">
        <v>1311</v>
      </c>
      <c r="M91" s="26">
        <f>L91/D91</f>
        <v>6.9</v>
      </c>
      <c r="N91" s="12"/>
    </row>
    <row r="92" spans="2:14" s="28" customFormat="1" ht="15" customHeight="1">
      <c r="B92" s="9"/>
      <c r="C92" s="1"/>
      <c r="D92" s="10"/>
      <c r="E92" s="11"/>
      <c r="F92" s="11"/>
      <c r="G92" s="10"/>
      <c r="H92" s="12"/>
      <c r="I92" s="12"/>
      <c r="J92" s="10"/>
      <c r="K92" s="10"/>
      <c r="L92" s="10"/>
      <c r="M92" s="12"/>
      <c r="N92" s="12"/>
    </row>
    <row r="93" spans="2:14" ht="15" customHeight="1">
      <c r="B93" s="30" t="s">
        <v>225</v>
      </c>
    </row>
    <row r="94" spans="2:14" ht="15" customHeight="1">
      <c r="B94" s="19" t="s">
        <v>2</v>
      </c>
      <c r="C94" s="20" t="s">
        <v>3</v>
      </c>
      <c r="D94" s="21" t="s">
        <v>4</v>
      </c>
      <c r="E94" s="22" t="s">
        <v>5</v>
      </c>
      <c r="F94" s="22" t="s">
        <v>6</v>
      </c>
      <c r="G94" s="21" t="s">
        <v>7</v>
      </c>
      <c r="H94" s="23" t="s">
        <v>8</v>
      </c>
      <c r="I94" s="23" t="s">
        <v>9</v>
      </c>
      <c r="J94" s="21" t="s">
        <v>10</v>
      </c>
      <c r="K94" s="21" t="s">
        <v>11</v>
      </c>
      <c r="L94" s="21" t="s">
        <v>12</v>
      </c>
      <c r="M94" s="23" t="s">
        <v>13</v>
      </c>
      <c r="N94" s="8"/>
    </row>
    <row r="95" spans="2:14" ht="15" customHeight="1">
      <c r="B95" s="24">
        <v>2024</v>
      </c>
      <c r="C95" s="18" t="s">
        <v>226</v>
      </c>
      <c r="D95" s="24">
        <v>40</v>
      </c>
      <c r="E95" s="25">
        <v>0.49199999999999999</v>
      </c>
      <c r="F95" s="25">
        <v>0.83299999999999996</v>
      </c>
      <c r="G95" s="24">
        <v>18</v>
      </c>
      <c r="H95" s="26">
        <v>4.7</v>
      </c>
      <c r="I95" s="26">
        <v>2.6</v>
      </c>
      <c r="J95" s="24">
        <v>26</v>
      </c>
      <c r="K95" s="24">
        <v>4</v>
      </c>
      <c r="L95" s="24">
        <v>313</v>
      </c>
      <c r="M95" s="26">
        <f>L95/D95</f>
        <v>7.8250000000000002</v>
      </c>
      <c r="N95" s="12"/>
    </row>
    <row r="96" spans="2:14" ht="15" customHeight="1">
      <c r="B96" s="27" t="s">
        <v>15</v>
      </c>
      <c r="C96" s="18" t="s">
        <v>18</v>
      </c>
      <c r="D96" s="24">
        <v>200</v>
      </c>
      <c r="E96" s="25">
        <v>0.436</v>
      </c>
      <c r="F96" s="25">
        <v>0.75</v>
      </c>
      <c r="G96" s="24">
        <v>111</v>
      </c>
      <c r="H96" s="26">
        <v>4.8</v>
      </c>
      <c r="I96" s="26">
        <v>1.9</v>
      </c>
      <c r="J96" s="24">
        <v>148</v>
      </c>
      <c r="K96" s="24">
        <v>51</v>
      </c>
      <c r="L96" s="24">
        <v>1571</v>
      </c>
      <c r="M96" s="26">
        <f>L96/D96</f>
        <v>7.8550000000000004</v>
      </c>
      <c r="N96" s="12"/>
    </row>
    <row r="97" spans="2:14" ht="15" customHeight="1">
      <c r="B97" s="9"/>
      <c r="D97" s="10"/>
      <c r="E97" s="11"/>
      <c r="F97" s="11"/>
      <c r="G97" s="10"/>
      <c r="H97" s="12"/>
      <c r="I97" s="12"/>
      <c r="J97" s="10"/>
      <c r="K97" s="10"/>
      <c r="L97" s="10"/>
      <c r="M97" s="12"/>
      <c r="N97" s="12"/>
    </row>
    <row r="98" spans="2:14" ht="15" customHeight="1">
      <c r="B98" s="30" t="s">
        <v>227</v>
      </c>
    </row>
    <row r="99" spans="2:14" ht="15" customHeight="1">
      <c r="B99" s="19" t="s">
        <v>2</v>
      </c>
      <c r="C99" s="20" t="s">
        <v>3</v>
      </c>
      <c r="D99" s="21" t="s">
        <v>4</v>
      </c>
      <c r="E99" s="22" t="s">
        <v>5</v>
      </c>
      <c r="F99" s="22" t="s">
        <v>6</v>
      </c>
      <c r="G99" s="21" t="s">
        <v>7</v>
      </c>
      <c r="H99" s="23" t="s">
        <v>8</v>
      </c>
      <c r="I99" s="23" t="s">
        <v>9</v>
      </c>
      <c r="J99" s="21" t="s">
        <v>10</v>
      </c>
      <c r="K99" s="21" t="s">
        <v>11</v>
      </c>
      <c r="L99" s="21" t="s">
        <v>12</v>
      </c>
      <c r="M99" s="23" t="s">
        <v>13</v>
      </c>
      <c r="N99" s="8"/>
    </row>
    <row r="100" spans="2:14" ht="15" customHeight="1">
      <c r="B100" s="24">
        <v>2024</v>
      </c>
      <c r="C100" s="18" t="s">
        <v>73</v>
      </c>
      <c r="D100" s="24">
        <v>40</v>
      </c>
      <c r="E100" s="25">
        <v>0.443</v>
      </c>
      <c r="F100" s="25">
        <v>0.81</v>
      </c>
      <c r="G100" s="24">
        <v>23</v>
      </c>
      <c r="H100" s="26">
        <v>4.7</v>
      </c>
      <c r="I100" s="26">
        <v>5.5</v>
      </c>
      <c r="J100" s="24">
        <v>36</v>
      </c>
      <c r="K100" s="24">
        <v>16</v>
      </c>
      <c r="L100" s="24">
        <v>445</v>
      </c>
      <c r="M100" s="26">
        <f>L100/D100</f>
        <v>11.125</v>
      </c>
      <c r="N100" s="12"/>
    </row>
    <row r="101" spans="2:14" ht="15" customHeight="1">
      <c r="B101" s="27" t="s">
        <v>15</v>
      </c>
      <c r="C101" s="18" t="s">
        <v>50</v>
      </c>
      <c r="D101" s="24">
        <v>289</v>
      </c>
      <c r="E101" s="25">
        <v>0.438</v>
      </c>
      <c r="F101" s="25">
        <v>0.73599999999999999</v>
      </c>
      <c r="G101" s="24">
        <v>195</v>
      </c>
      <c r="H101" s="26">
        <v>5.3</v>
      </c>
      <c r="I101" s="26">
        <v>3.8</v>
      </c>
      <c r="J101" s="24">
        <v>253</v>
      </c>
      <c r="K101" s="24">
        <v>86</v>
      </c>
      <c r="L101" s="24">
        <v>3462</v>
      </c>
      <c r="M101" s="26">
        <f>L101/D101</f>
        <v>11.979238754325259</v>
      </c>
      <c r="N101" s="12"/>
    </row>
  </sheetData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N96"/>
  <sheetViews>
    <sheetView zoomScale="120" zoomScaleNormal="120" workbookViewId="0">
      <selection activeCell="B53" sqref="B53"/>
    </sheetView>
  </sheetViews>
  <sheetFormatPr defaultColWidth="45" defaultRowHeight="15" customHeight="1"/>
  <cols>
    <col min="1" max="1" width="2.7109375" style="1" customWidth="1"/>
    <col min="2" max="2" width="17.7109375" style="13" bestFit="1" customWidth="1"/>
    <col min="3" max="3" width="19.140625" style="1" bestFit="1" customWidth="1"/>
    <col min="4" max="4" width="4.28515625" style="1" customWidth="1"/>
    <col min="5" max="5" width="7.42578125" style="2" bestFit="1" customWidth="1"/>
    <col min="6" max="6" width="4.85546875" style="2" bestFit="1" customWidth="1"/>
    <col min="7" max="7" width="4.42578125" style="1" bestFit="1" customWidth="1"/>
    <col min="8" max="8" width="4.140625" style="3" bestFit="1" customWidth="1"/>
    <col min="9" max="9" width="4.28515625" style="3" bestFit="1" customWidth="1"/>
    <col min="10" max="10" width="5.140625" style="1" customWidth="1"/>
    <col min="11" max="11" width="4.42578125" style="1" bestFit="1" customWidth="1"/>
    <col min="12" max="12" width="5.28515625" style="1" bestFit="1" customWidth="1"/>
    <col min="13" max="13" width="4.42578125" style="3" bestFit="1" customWidth="1"/>
    <col min="14" max="14" width="4.42578125" style="3" customWidth="1"/>
    <col min="15" max="16384" width="45" style="1"/>
  </cols>
  <sheetData>
    <row r="1" spans="2:14" ht="15" customHeight="1">
      <c r="B1" s="33" t="s">
        <v>228</v>
      </c>
    </row>
    <row r="3" spans="2:14" ht="15" customHeight="1">
      <c r="B3" s="30" t="s">
        <v>229</v>
      </c>
    </row>
    <row r="4" spans="2:14" ht="15" customHeight="1">
      <c r="B4" s="19" t="s">
        <v>2</v>
      </c>
      <c r="C4" s="20" t="s">
        <v>3</v>
      </c>
      <c r="D4" s="21" t="s">
        <v>4</v>
      </c>
      <c r="E4" s="22" t="s">
        <v>5</v>
      </c>
      <c r="F4" s="22" t="s">
        <v>6</v>
      </c>
      <c r="G4" s="21" t="s">
        <v>7</v>
      </c>
      <c r="H4" s="23" t="s">
        <v>8</v>
      </c>
      <c r="I4" s="23" t="s">
        <v>9</v>
      </c>
      <c r="J4" s="21" t="s">
        <v>10</v>
      </c>
      <c r="K4" s="21" t="s">
        <v>11</v>
      </c>
      <c r="L4" s="21" t="s">
        <v>12</v>
      </c>
      <c r="M4" s="23" t="s">
        <v>13</v>
      </c>
      <c r="N4" s="8"/>
    </row>
    <row r="5" spans="2:14" ht="15" customHeight="1">
      <c r="B5" s="24">
        <v>2019</v>
      </c>
      <c r="C5" s="18" t="s">
        <v>126</v>
      </c>
      <c r="D5" s="24">
        <v>33</v>
      </c>
      <c r="E5" s="25">
        <v>0.39400000000000002</v>
      </c>
      <c r="F5" s="25">
        <v>0.76500000000000001</v>
      </c>
      <c r="G5" s="24">
        <v>7</v>
      </c>
      <c r="H5" s="26">
        <v>3.7</v>
      </c>
      <c r="I5" s="26">
        <v>4.5999999999999996</v>
      </c>
      <c r="J5" s="24">
        <v>47</v>
      </c>
      <c r="K5" s="24">
        <v>4</v>
      </c>
      <c r="L5" s="24">
        <v>175</v>
      </c>
      <c r="M5" s="26">
        <f>L5/D5</f>
        <v>5.3030303030303028</v>
      </c>
      <c r="N5" s="12"/>
    </row>
    <row r="6" spans="2:14" ht="15" customHeight="1">
      <c r="B6" s="27" t="s">
        <v>15</v>
      </c>
      <c r="C6" s="18" t="s">
        <v>33</v>
      </c>
      <c r="D6" s="24">
        <v>128</v>
      </c>
      <c r="E6" s="25">
        <v>0.39300000000000002</v>
      </c>
      <c r="F6" s="25">
        <v>0.73599999999999999</v>
      </c>
      <c r="G6" s="24">
        <v>31</v>
      </c>
      <c r="H6" s="26">
        <v>3.2</v>
      </c>
      <c r="I6" s="26">
        <v>3.9</v>
      </c>
      <c r="J6" s="24">
        <v>174</v>
      </c>
      <c r="K6" s="24">
        <v>12</v>
      </c>
      <c r="L6" s="24">
        <v>805</v>
      </c>
      <c r="M6" s="26">
        <f>L6/D6</f>
        <v>6.2890625</v>
      </c>
      <c r="N6" s="12"/>
    </row>
    <row r="7" spans="2:14" s="28" customFormat="1" ht="15" customHeight="1">
      <c r="B7" s="9"/>
      <c r="C7" s="1"/>
      <c r="D7" s="10"/>
      <c r="E7" s="11"/>
      <c r="F7" s="11"/>
      <c r="G7" s="10"/>
      <c r="H7" s="12"/>
      <c r="I7" s="12"/>
      <c r="J7" s="10"/>
      <c r="K7" s="10"/>
      <c r="L7" s="10"/>
      <c r="M7" s="12"/>
      <c r="N7" s="12"/>
    </row>
    <row r="8" spans="2:14" ht="15" customHeight="1">
      <c r="B8" s="30" t="s">
        <v>230</v>
      </c>
    </row>
    <row r="9" spans="2:14" ht="15" customHeight="1">
      <c r="B9" s="19" t="s">
        <v>2</v>
      </c>
      <c r="C9" s="20" t="s">
        <v>3</v>
      </c>
      <c r="D9" s="21" t="s">
        <v>4</v>
      </c>
      <c r="E9" s="22" t="s">
        <v>5</v>
      </c>
      <c r="F9" s="22" t="s">
        <v>6</v>
      </c>
      <c r="G9" s="21" t="s">
        <v>7</v>
      </c>
      <c r="H9" s="23" t="s">
        <v>8</v>
      </c>
      <c r="I9" s="23" t="s">
        <v>9</v>
      </c>
      <c r="J9" s="21" t="s">
        <v>10</v>
      </c>
      <c r="K9" s="21" t="s">
        <v>11</v>
      </c>
      <c r="L9" s="21" t="s">
        <v>12</v>
      </c>
      <c r="M9" s="23" t="s">
        <v>13</v>
      </c>
      <c r="N9" s="8"/>
    </row>
    <row r="10" spans="2:14" ht="15" customHeight="1">
      <c r="B10" s="24">
        <v>2018</v>
      </c>
      <c r="C10" s="18" t="s">
        <v>126</v>
      </c>
      <c r="D10" s="24">
        <v>21</v>
      </c>
      <c r="E10" s="25">
        <v>0.34799999999999998</v>
      </c>
      <c r="F10" s="25">
        <v>1</v>
      </c>
      <c r="G10" s="24">
        <v>12</v>
      </c>
      <c r="H10" s="26">
        <v>2.4</v>
      </c>
      <c r="I10" s="26">
        <v>1</v>
      </c>
      <c r="J10" s="24">
        <v>10</v>
      </c>
      <c r="K10" s="24">
        <v>5</v>
      </c>
      <c r="L10" s="24">
        <v>98</v>
      </c>
      <c r="M10" s="26">
        <f>L10/D10</f>
        <v>4.666666666666667</v>
      </c>
      <c r="N10" s="12"/>
    </row>
    <row r="11" spans="2:14" ht="15" customHeight="1">
      <c r="B11" s="27" t="s">
        <v>15</v>
      </c>
      <c r="C11" s="18" t="s">
        <v>20</v>
      </c>
      <c r="D11" s="24">
        <v>319</v>
      </c>
      <c r="E11" s="25">
        <v>0.371</v>
      </c>
      <c r="F11" s="25">
        <v>0.76200000000000001</v>
      </c>
      <c r="G11" s="24">
        <v>315</v>
      </c>
      <c r="H11" s="26">
        <v>3.1</v>
      </c>
      <c r="I11" s="26">
        <v>1.3</v>
      </c>
      <c r="J11" s="24">
        <v>236</v>
      </c>
      <c r="K11" s="24">
        <v>88</v>
      </c>
      <c r="L11" s="24">
        <v>2140</v>
      </c>
      <c r="M11" s="26">
        <f>L11/D11</f>
        <v>6.7084639498432601</v>
      </c>
      <c r="N11" s="12"/>
    </row>
    <row r="12" spans="2:14" ht="15" customHeight="1">
      <c r="B12" s="4"/>
      <c r="C12" s="5"/>
      <c r="D12" s="6"/>
      <c r="E12" s="7"/>
      <c r="F12" s="7"/>
      <c r="G12" s="6"/>
      <c r="H12" s="8"/>
      <c r="I12" s="8"/>
      <c r="J12" s="6"/>
      <c r="K12" s="6"/>
      <c r="L12" s="6"/>
      <c r="M12" s="8"/>
      <c r="N12" s="8"/>
    </row>
    <row r="13" spans="2:14" ht="15" customHeight="1">
      <c r="B13" s="30" t="s">
        <v>231</v>
      </c>
    </row>
    <row r="14" spans="2:14" ht="15" customHeight="1">
      <c r="B14" s="19" t="s">
        <v>2</v>
      </c>
      <c r="C14" s="20" t="s">
        <v>3</v>
      </c>
      <c r="D14" s="21" t="s">
        <v>4</v>
      </c>
      <c r="E14" s="22" t="s">
        <v>5</v>
      </c>
      <c r="F14" s="22" t="s">
        <v>6</v>
      </c>
      <c r="G14" s="21" t="s">
        <v>7</v>
      </c>
      <c r="H14" s="23" t="s">
        <v>8</v>
      </c>
      <c r="I14" s="23" t="s">
        <v>9</v>
      </c>
      <c r="J14" s="21" t="s">
        <v>10</v>
      </c>
      <c r="K14" s="21" t="s">
        <v>11</v>
      </c>
      <c r="L14" s="21" t="s">
        <v>12</v>
      </c>
      <c r="M14" s="23" t="s">
        <v>13</v>
      </c>
      <c r="N14" s="8"/>
    </row>
    <row r="15" spans="2:14" ht="15" customHeight="1">
      <c r="B15" s="24">
        <v>2019</v>
      </c>
      <c r="C15" s="18" t="s">
        <v>126</v>
      </c>
      <c r="D15" s="24">
        <v>31</v>
      </c>
      <c r="E15" s="25">
        <v>0.41499999999999998</v>
      </c>
      <c r="F15" s="25">
        <v>0.80600000000000005</v>
      </c>
      <c r="G15" s="24">
        <v>14</v>
      </c>
      <c r="H15" s="26">
        <v>2.8</v>
      </c>
      <c r="I15" s="26">
        <v>4.0999999999999996</v>
      </c>
      <c r="J15" s="24">
        <v>32</v>
      </c>
      <c r="K15" s="24">
        <v>9</v>
      </c>
      <c r="L15" s="24">
        <v>147</v>
      </c>
      <c r="M15" s="26">
        <f>L15/D15</f>
        <v>4.741935483870968</v>
      </c>
      <c r="N15" s="12"/>
    </row>
    <row r="16" spans="2:14" ht="15" customHeight="1">
      <c r="B16" s="27" t="s">
        <v>15</v>
      </c>
      <c r="C16" s="18" t="s">
        <v>59</v>
      </c>
      <c r="D16" s="24">
        <v>457</v>
      </c>
      <c r="E16" s="25">
        <v>0.42399999999999999</v>
      </c>
      <c r="F16" s="25">
        <v>0.83299999999999996</v>
      </c>
      <c r="G16" s="24">
        <v>138</v>
      </c>
      <c r="H16" s="26">
        <v>2.6</v>
      </c>
      <c r="I16" s="26">
        <v>3.1</v>
      </c>
      <c r="J16" s="24">
        <v>427</v>
      </c>
      <c r="K16" s="24">
        <v>71</v>
      </c>
      <c r="L16" s="24">
        <v>3324</v>
      </c>
      <c r="M16" s="26">
        <f>L16/D16</f>
        <v>7.2735229759299784</v>
      </c>
      <c r="N16" s="12"/>
    </row>
    <row r="18" spans="2:14" ht="15" customHeight="1">
      <c r="B18" s="30" t="s">
        <v>232</v>
      </c>
    </row>
    <row r="19" spans="2:14" ht="15" customHeight="1">
      <c r="B19" s="19" t="s">
        <v>2</v>
      </c>
      <c r="C19" s="20" t="s">
        <v>3</v>
      </c>
      <c r="D19" s="21" t="s">
        <v>4</v>
      </c>
      <c r="E19" s="22" t="s">
        <v>5</v>
      </c>
      <c r="F19" s="22" t="s">
        <v>6</v>
      </c>
      <c r="G19" s="21" t="s">
        <v>7</v>
      </c>
      <c r="H19" s="23" t="s">
        <v>8</v>
      </c>
      <c r="I19" s="23" t="s">
        <v>9</v>
      </c>
      <c r="J19" s="21" t="s">
        <v>10</v>
      </c>
      <c r="K19" s="21" t="s">
        <v>11</v>
      </c>
      <c r="L19" s="21" t="s">
        <v>12</v>
      </c>
      <c r="M19" s="23" t="s">
        <v>13</v>
      </c>
      <c r="N19" s="8"/>
    </row>
    <row r="20" spans="2:14" ht="15" customHeight="1">
      <c r="B20" s="24">
        <v>2022</v>
      </c>
      <c r="C20" s="18" t="s">
        <v>126</v>
      </c>
      <c r="D20" s="24">
        <v>11</v>
      </c>
      <c r="E20" s="25">
        <v>0.42299999999999999</v>
      </c>
      <c r="F20" s="25">
        <v>0.5</v>
      </c>
      <c r="G20" s="24">
        <v>3</v>
      </c>
      <c r="H20" s="26">
        <v>1.6</v>
      </c>
      <c r="I20" s="26">
        <v>0.4</v>
      </c>
      <c r="J20" s="24">
        <v>5</v>
      </c>
      <c r="K20" s="24">
        <v>2</v>
      </c>
      <c r="L20" s="24">
        <v>29</v>
      </c>
      <c r="M20" s="26">
        <f>L20/D20</f>
        <v>2.6363636363636362</v>
      </c>
      <c r="N20" s="12"/>
    </row>
    <row r="21" spans="2:14" ht="15" customHeight="1">
      <c r="B21" s="27" t="s">
        <v>15</v>
      </c>
      <c r="C21" s="18" t="s">
        <v>38</v>
      </c>
      <c r="D21" s="24">
        <v>33</v>
      </c>
      <c r="E21" s="25">
        <v>0.375</v>
      </c>
      <c r="F21" s="25">
        <v>0.78</v>
      </c>
      <c r="G21" s="24">
        <v>18</v>
      </c>
      <c r="H21" s="26">
        <v>2.2000000000000002</v>
      </c>
      <c r="I21" s="26">
        <v>0.7</v>
      </c>
      <c r="J21" s="24">
        <v>20</v>
      </c>
      <c r="K21" s="24">
        <v>8</v>
      </c>
      <c r="L21" s="24">
        <v>157</v>
      </c>
      <c r="M21" s="26">
        <f>L21/D21</f>
        <v>4.7575757575757578</v>
      </c>
      <c r="N21" s="12"/>
    </row>
    <row r="22" spans="2:14" s="28" customFormat="1" ht="15" customHeight="1">
      <c r="B22" s="9"/>
      <c r="C22" s="1"/>
      <c r="D22" s="10"/>
      <c r="E22" s="11"/>
      <c r="F22" s="11"/>
      <c r="G22" s="10"/>
      <c r="H22" s="12"/>
      <c r="I22" s="12"/>
      <c r="J22" s="10"/>
      <c r="K22" s="10"/>
      <c r="L22" s="10"/>
      <c r="M22" s="12"/>
      <c r="N22" s="12"/>
    </row>
    <row r="23" spans="2:14" ht="15" customHeight="1">
      <c r="B23" s="30" t="s">
        <v>233</v>
      </c>
    </row>
    <row r="24" spans="2:14" ht="15" customHeight="1">
      <c r="B24" s="19" t="s">
        <v>2</v>
      </c>
      <c r="C24" s="20" t="s">
        <v>3</v>
      </c>
      <c r="D24" s="21" t="s">
        <v>4</v>
      </c>
      <c r="E24" s="22" t="s">
        <v>5</v>
      </c>
      <c r="F24" s="22" t="s">
        <v>6</v>
      </c>
      <c r="G24" s="21" t="s">
        <v>7</v>
      </c>
      <c r="H24" s="23" t="s">
        <v>8</v>
      </c>
      <c r="I24" s="23" t="s">
        <v>9</v>
      </c>
      <c r="J24" s="21" t="s">
        <v>10</v>
      </c>
      <c r="K24" s="21" t="s">
        <v>11</v>
      </c>
      <c r="L24" s="21" t="s">
        <v>12</v>
      </c>
      <c r="M24" s="23" t="s">
        <v>13</v>
      </c>
      <c r="N24" s="8"/>
    </row>
    <row r="25" spans="2:14" ht="15" customHeight="1">
      <c r="B25" s="24">
        <v>2024</v>
      </c>
      <c r="C25" s="18" t="s">
        <v>126</v>
      </c>
      <c r="D25" s="24">
        <v>38</v>
      </c>
      <c r="E25" s="25">
        <v>0.39400000000000002</v>
      </c>
      <c r="F25" s="25">
        <v>0.89800000000000002</v>
      </c>
      <c r="G25" s="24">
        <v>107</v>
      </c>
      <c r="H25" s="26">
        <v>4.4000000000000004</v>
      </c>
      <c r="I25" s="26">
        <v>6.2</v>
      </c>
      <c r="J25" s="24">
        <v>38</v>
      </c>
      <c r="K25" s="24">
        <v>13</v>
      </c>
      <c r="L25" s="24">
        <v>691</v>
      </c>
      <c r="M25" s="26">
        <f>L25/D25</f>
        <v>18.184210526315791</v>
      </c>
      <c r="N25" s="12"/>
    </row>
    <row r="26" spans="2:14" ht="15" customHeight="1">
      <c r="B26" s="27" t="s">
        <v>15</v>
      </c>
      <c r="C26" s="18" t="s">
        <v>33</v>
      </c>
      <c r="D26" s="24">
        <v>143</v>
      </c>
      <c r="E26" s="25">
        <v>0.40400000000000003</v>
      </c>
      <c r="F26" s="25">
        <v>0.90600000000000003</v>
      </c>
      <c r="G26" s="24">
        <v>379</v>
      </c>
      <c r="H26" s="26">
        <v>5.6</v>
      </c>
      <c r="I26" s="26">
        <v>6</v>
      </c>
      <c r="J26" s="24">
        <v>134</v>
      </c>
      <c r="K26" s="24">
        <v>49</v>
      </c>
      <c r="L26" s="24">
        <v>2337</v>
      </c>
      <c r="M26" s="26">
        <f>L26/D26</f>
        <v>16.342657342657343</v>
      </c>
      <c r="N26" s="12"/>
    </row>
    <row r="27" spans="2:14" s="28" customFormat="1" ht="15" customHeight="1">
      <c r="B27" s="9"/>
      <c r="C27" s="1"/>
      <c r="D27" s="10"/>
      <c r="E27" s="11"/>
      <c r="F27" s="11"/>
      <c r="G27" s="10"/>
      <c r="H27" s="12"/>
      <c r="I27" s="12"/>
      <c r="J27" s="10"/>
      <c r="K27" s="10"/>
      <c r="L27" s="10"/>
      <c r="M27" s="12"/>
      <c r="N27" s="12"/>
    </row>
    <row r="28" spans="2:14" ht="15" customHeight="1">
      <c r="B28" s="30" t="s">
        <v>234</v>
      </c>
    </row>
    <row r="29" spans="2:14" ht="15" customHeight="1">
      <c r="B29" s="19" t="s">
        <v>2</v>
      </c>
      <c r="C29" s="20" t="s">
        <v>3</v>
      </c>
      <c r="D29" s="21" t="s">
        <v>4</v>
      </c>
      <c r="E29" s="22" t="s">
        <v>5</v>
      </c>
      <c r="F29" s="22" t="s">
        <v>6</v>
      </c>
      <c r="G29" s="21" t="s">
        <v>7</v>
      </c>
      <c r="H29" s="23" t="s">
        <v>8</v>
      </c>
      <c r="I29" s="23" t="s">
        <v>9</v>
      </c>
      <c r="J29" s="21" t="s">
        <v>10</v>
      </c>
      <c r="K29" s="21" t="s">
        <v>11</v>
      </c>
      <c r="L29" s="21" t="s">
        <v>12</v>
      </c>
      <c r="M29" s="23" t="s">
        <v>13</v>
      </c>
      <c r="N29" s="8"/>
    </row>
    <row r="30" spans="2:14" ht="15" customHeight="1">
      <c r="B30" s="24">
        <v>2024</v>
      </c>
      <c r="C30" s="18" t="s">
        <v>126</v>
      </c>
      <c r="D30" s="24">
        <v>28</v>
      </c>
      <c r="E30" s="25">
        <v>0.45600000000000002</v>
      </c>
      <c r="F30" s="25">
        <v>0.90600000000000003</v>
      </c>
      <c r="G30" s="24">
        <v>41</v>
      </c>
      <c r="H30" s="26">
        <v>4.2</v>
      </c>
      <c r="I30" s="26">
        <v>3.3</v>
      </c>
      <c r="J30" s="24">
        <v>32</v>
      </c>
      <c r="K30" s="24">
        <v>1</v>
      </c>
      <c r="L30" s="24">
        <v>329</v>
      </c>
      <c r="M30" s="26">
        <f>L30/D30</f>
        <v>11.75</v>
      </c>
      <c r="N30" s="12"/>
    </row>
    <row r="31" spans="2:14" ht="15" customHeight="1">
      <c r="B31" s="27" t="s">
        <v>15</v>
      </c>
      <c r="C31" s="18" t="s">
        <v>50</v>
      </c>
      <c r="D31" s="24">
        <v>234</v>
      </c>
      <c r="E31" s="25">
        <v>0.45100000000000001</v>
      </c>
      <c r="F31" s="25">
        <v>0.79900000000000004</v>
      </c>
      <c r="G31" s="24">
        <v>197</v>
      </c>
      <c r="H31" s="26">
        <v>3.3</v>
      </c>
      <c r="I31" s="26">
        <v>2.4</v>
      </c>
      <c r="J31" s="24">
        <v>202</v>
      </c>
      <c r="K31" s="24">
        <v>21</v>
      </c>
      <c r="L31" s="24">
        <v>2228</v>
      </c>
      <c r="M31" s="26">
        <f>L31/D31</f>
        <v>9.5213675213675213</v>
      </c>
      <c r="N31" s="12"/>
    </row>
    <row r="32" spans="2:14" ht="15" customHeight="1">
      <c r="B32" s="9"/>
      <c r="D32" s="10"/>
      <c r="E32" s="11"/>
      <c r="F32" s="11"/>
      <c r="G32" s="10"/>
      <c r="H32" s="12"/>
      <c r="I32" s="12"/>
      <c r="J32" s="10"/>
      <c r="K32" s="10"/>
      <c r="L32" s="10"/>
      <c r="M32" s="12"/>
      <c r="N32" s="12"/>
    </row>
    <row r="33" spans="2:14" ht="15" customHeight="1">
      <c r="B33" s="30" t="s">
        <v>235</v>
      </c>
    </row>
    <row r="34" spans="2:14" ht="15" customHeight="1">
      <c r="B34" s="19" t="s">
        <v>2</v>
      </c>
      <c r="C34" s="20" t="s">
        <v>3</v>
      </c>
      <c r="D34" s="21" t="s">
        <v>4</v>
      </c>
      <c r="E34" s="22" t="s">
        <v>5</v>
      </c>
      <c r="F34" s="22" t="s">
        <v>6</v>
      </c>
      <c r="G34" s="21" t="s">
        <v>7</v>
      </c>
      <c r="H34" s="23" t="s">
        <v>8</v>
      </c>
      <c r="I34" s="23" t="s">
        <v>9</v>
      </c>
      <c r="J34" s="21" t="s">
        <v>10</v>
      </c>
      <c r="K34" s="21" t="s">
        <v>11</v>
      </c>
      <c r="L34" s="21" t="s">
        <v>12</v>
      </c>
      <c r="M34" s="23" t="s">
        <v>13</v>
      </c>
      <c r="N34" s="8"/>
    </row>
    <row r="35" spans="2:14" ht="15" customHeight="1">
      <c r="B35" s="24">
        <v>2021</v>
      </c>
      <c r="C35" s="18" t="s">
        <v>126</v>
      </c>
      <c r="D35" s="24">
        <v>30</v>
      </c>
      <c r="E35" s="25">
        <v>0.46700000000000003</v>
      </c>
      <c r="F35" s="25">
        <v>0.8</v>
      </c>
      <c r="G35" s="24">
        <v>24</v>
      </c>
      <c r="H35" s="26">
        <v>4</v>
      </c>
      <c r="I35" s="26">
        <v>1.4</v>
      </c>
      <c r="J35" s="24">
        <v>10</v>
      </c>
      <c r="K35" s="24">
        <v>15</v>
      </c>
      <c r="L35" s="24">
        <v>170</v>
      </c>
      <c r="M35" s="26">
        <f>L35/D35</f>
        <v>5.666666666666667</v>
      </c>
      <c r="N35" s="12"/>
    </row>
    <row r="36" spans="2:14" ht="15" customHeight="1">
      <c r="B36" s="27" t="s">
        <v>15</v>
      </c>
      <c r="C36" s="18" t="s">
        <v>38</v>
      </c>
      <c r="D36" s="24">
        <v>50</v>
      </c>
      <c r="E36" s="25">
        <v>0.44600000000000001</v>
      </c>
      <c r="F36" s="25">
        <v>0.81799999999999995</v>
      </c>
      <c r="G36" s="24">
        <v>27</v>
      </c>
      <c r="H36" s="26">
        <v>3.5</v>
      </c>
      <c r="I36" s="26">
        <v>1</v>
      </c>
      <c r="J36" s="24">
        <v>17</v>
      </c>
      <c r="K36" s="24">
        <v>25</v>
      </c>
      <c r="L36" s="24">
        <v>251</v>
      </c>
      <c r="M36" s="26">
        <f>L36/D36</f>
        <v>5.0199999999999996</v>
      </c>
      <c r="N36" s="12"/>
    </row>
    <row r="37" spans="2:14" s="28" customFormat="1" ht="15" customHeight="1">
      <c r="B37" s="9"/>
      <c r="C37" s="1"/>
      <c r="D37" s="10"/>
      <c r="E37" s="11"/>
      <c r="F37" s="11"/>
      <c r="G37" s="10"/>
      <c r="H37" s="12"/>
      <c r="I37" s="12"/>
      <c r="J37" s="10"/>
      <c r="K37" s="10"/>
      <c r="L37" s="10"/>
      <c r="M37" s="12"/>
      <c r="N37" s="12"/>
    </row>
    <row r="38" spans="2:14" ht="15" customHeight="1">
      <c r="B38" s="30" t="s">
        <v>236</v>
      </c>
    </row>
    <row r="39" spans="2:14" ht="15" customHeight="1">
      <c r="B39" s="19" t="s">
        <v>2</v>
      </c>
      <c r="C39" s="20" t="s">
        <v>3</v>
      </c>
      <c r="D39" s="21" t="s">
        <v>4</v>
      </c>
      <c r="E39" s="22" t="s">
        <v>5</v>
      </c>
      <c r="F39" s="22" t="s">
        <v>6</v>
      </c>
      <c r="G39" s="21" t="s">
        <v>7</v>
      </c>
      <c r="H39" s="23" t="s">
        <v>8</v>
      </c>
      <c r="I39" s="23" t="s">
        <v>9</v>
      </c>
      <c r="J39" s="21" t="s">
        <v>10</v>
      </c>
      <c r="K39" s="21" t="s">
        <v>11</v>
      </c>
      <c r="L39" s="21" t="s">
        <v>12</v>
      </c>
      <c r="M39" s="23" t="s">
        <v>13</v>
      </c>
      <c r="N39" s="8"/>
    </row>
    <row r="40" spans="2:14" ht="15" customHeight="1">
      <c r="B40" s="24">
        <v>2022</v>
      </c>
      <c r="C40" s="18" t="s">
        <v>126</v>
      </c>
      <c r="D40" s="24">
        <v>14</v>
      </c>
      <c r="E40" s="25">
        <v>0.30599999999999999</v>
      </c>
      <c r="F40" s="25">
        <v>0.7</v>
      </c>
      <c r="G40" s="24">
        <v>3</v>
      </c>
      <c r="H40" s="26">
        <v>1.7</v>
      </c>
      <c r="I40" s="26">
        <v>1.4</v>
      </c>
      <c r="J40" s="24">
        <v>1</v>
      </c>
      <c r="K40" s="24">
        <v>5</v>
      </c>
      <c r="L40" s="24">
        <v>32</v>
      </c>
      <c r="M40" s="26">
        <f>L40/D40</f>
        <v>2.2857142857142856</v>
      </c>
      <c r="N40" s="12"/>
    </row>
    <row r="41" spans="2:14" ht="15" customHeight="1">
      <c r="B41" s="27" t="s">
        <v>15</v>
      </c>
      <c r="C41" s="18" t="s">
        <v>38</v>
      </c>
      <c r="D41" s="24">
        <v>45</v>
      </c>
      <c r="E41" s="25">
        <v>0.38</v>
      </c>
      <c r="F41" s="25">
        <v>0.65</v>
      </c>
      <c r="G41" s="24">
        <v>13</v>
      </c>
      <c r="H41" s="26">
        <v>1.3</v>
      </c>
      <c r="I41" s="26">
        <v>1</v>
      </c>
      <c r="J41" s="24">
        <v>18</v>
      </c>
      <c r="K41" s="24">
        <v>11</v>
      </c>
      <c r="L41" s="24">
        <v>102</v>
      </c>
      <c r="M41" s="26">
        <f>L41/D41</f>
        <v>2.2666666666666666</v>
      </c>
      <c r="N41" s="12"/>
    </row>
    <row r="42" spans="2:14" s="28" customFormat="1" ht="15" customHeight="1">
      <c r="B42" s="9"/>
      <c r="C42" s="1"/>
      <c r="D42" s="10"/>
      <c r="E42" s="11"/>
      <c r="F42" s="11"/>
      <c r="G42" s="10"/>
      <c r="H42" s="12"/>
      <c r="I42" s="12"/>
      <c r="J42" s="10"/>
      <c r="K42" s="10"/>
      <c r="L42" s="10"/>
      <c r="M42" s="12"/>
      <c r="N42" s="12"/>
    </row>
    <row r="43" spans="2:14" ht="15" customHeight="1">
      <c r="B43" s="30" t="s">
        <v>237</v>
      </c>
    </row>
    <row r="44" spans="2:14" ht="15" customHeight="1">
      <c r="B44" s="19" t="s">
        <v>2</v>
      </c>
      <c r="C44" s="20" t="s">
        <v>3</v>
      </c>
      <c r="D44" s="21" t="s">
        <v>4</v>
      </c>
      <c r="E44" s="22" t="s">
        <v>5</v>
      </c>
      <c r="F44" s="22" t="s">
        <v>6</v>
      </c>
      <c r="G44" s="21" t="s">
        <v>7</v>
      </c>
      <c r="H44" s="23" t="s">
        <v>8</v>
      </c>
      <c r="I44" s="23" t="s">
        <v>9</v>
      </c>
      <c r="J44" s="21" t="s">
        <v>10</v>
      </c>
      <c r="K44" s="21" t="s">
        <v>11</v>
      </c>
      <c r="L44" s="21" t="s">
        <v>12</v>
      </c>
      <c r="M44" s="23" t="s">
        <v>13</v>
      </c>
      <c r="N44" s="8"/>
    </row>
    <row r="45" spans="2:14" ht="15" customHeight="1">
      <c r="B45" s="24">
        <v>2022</v>
      </c>
      <c r="C45" s="18" t="s">
        <v>126</v>
      </c>
      <c r="D45" s="24">
        <v>32</v>
      </c>
      <c r="E45" s="25">
        <v>0.49299999999999999</v>
      </c>
      <c r="F45" s="25">
        <v>0.79600000000000004</v>
      </c>
      <c r="G45" s="24">
        <v>16</v>
      </c>
      <c r="H45" s="26">
        <v>3.6</v>
      </c>
      <c r="I45" s="26">
        <v>0.9</v>
      </c>
      <c r="J45" s="24">
        <v>17</v>
      </c>
      <c r="K45" s="24">
        <v>21</v>
      </c>
      <c r="L45" s="24">
        <v>273</v>
      </c>
      <c r="M45" s="26">
        <f>L45/D45</f>
        <v>8.53125</v>
      </c>
      <c r="N45" s="12"/>
    </row>
    <row r="46" spans="2:14" ht="15" customHeight="1">
      <c r="B46" s="27" t="s">
        <v>15</v>
      </c>
      <c r="C46" s="18" t="s">
        <v>38</v>
      </c>
      <c r="D46" s="24">
        <v>50</v>
      </c>
      <c r="E46" s="25">
        <v>0.47699999999999998</v>
      </c>
      <c r="F46" s="25">
        <v>0.78400000000000003</v>
      </c>
      <c r="G46" s="24">
        <v>21</v>
      </c>
      <c r="H46" s="26">
        <v>2.6</v>
      </c>
      <c r="I46" s="26">
        <v>0.6</v>
      </c>
      <c r="J46" s="24">
        <v>20</v>
      </c>
      <c r="K46" s="24">
        <v>25</v>
      </c>
      <c r="L46" s="24">
        <v>327</v>
      </c>
      <c r="M46" s="26">
        <f>L46/D46</f>
        <v>6.54</v>
      </c>
      <c r="N46" s="12"/>
    </row>
    <row r="47" spans="2:14" s="28" customFormat="1" ht="15" customHeight="1">
      <c r="B47" s="9"/>
      <c r="C47" s="1"/>
      <c r="D47" s="10"/>
      <c r="E47" s="11"/>
      <c r="F47" s="11"/>
      <c r="G47" s="10"/>
      <c r="H47" s="12"/>
      <c r="I47" s="12"/>
      <c r="J47" s="10"/>
      <c r="K47" s="10"/>
      <c r="L47" s="10"/>
      <c r="M47" s="12"/>
      <c r="N47" s="12"/>
    </row>
    <row r="48" spans="2:14" ht="15" customHeight="1">
      <c r="B48" s="30" t="s">
        <v>238</v>
      </c>
    </row>
    <row r="49" spans="2:14" ht="15" customHeight="1">
      <c r="B49" s="19" t="s">
        <v>2</v>
      </c>
      <c r="C49" s="20" t="s">
        <v>3</v>
      </c>
      <c r="D49" s="21" t="s">
        <v>4</v>
      </c>
      <c r="E49" s="22" t="s">
        <v>5</v>
      </c>
      <c r="F49" s="22" t="s">
        <v>6</v>
      </c>
      <c r="G49" s="21" t="s">
        <v>7</v>
      </c>
      <c r="H49" s="23" t="s">
        <v>8</v>
      </c>
      <c r="I49" s="23" t="s">
        <v>9</v>
      </c>
      <c r="J49" s="21" t="s">
        <v>10</v>
      </c>
      <c r="K49" s="21" t="s">
        <v>11</v>
      </c>
      <c r="L49" s="21" t="s">
        <v>12</v>
      </c>
      <c r="M49" s="23" t="s">
        <v>13</v>
      </c>
      <c r="N49" s="8"/>
    </row>
    <row r="50" spans="2:14" ht="15" customHeight="1">
      <c r="B50" s="24">
        <v>2023</v>
      </c>
      <c r="C50" s="18" t="s">
        <v>126</v>
      </c>
      <c r="D50" s="24">
        <v>35</v>
      </c>
      <c r="E50" s="25">
        <v>0.41399999999999998</v>
      </c>
      <c r="F50" s="25">
        <v>0.75</v>
      </c>
      <c r="G50" s="24">
        <v>56</v>
      </c>
      <c r="H50" s="26">
        <v>1.4</v>
      </c>
      <c r="I50" s="26">
        <v>1.7</v>
      </c>
      <c r="J50" s="24">
        <v>23</v>
      </c>
      <c r="K50" s="24">
        <v>2</v>
      </c>
      <c r="L50" s="24">
        <v>249</v>
      </c>
      <c r="M50" s="26">
        <f>L50/D50</f>
        <v>7.1142857142857139</v>
      </c>
      <c r="N50" s="12"/>
    </row>
    <row r="51" spans="2:14" ht="15" customHeight="1">
      <c r="B51" s="27" t="s">
        <v>15</v>
      </c>
      <c r="C51" s="18" t="s">
        <v>23</v>
      </c>
      <c r="D51" s="24">
        <v>78</v>
      </c>
      <c r="E51" s="25">
        <v>0.437</v>
      </c>
      <c r="F51" s="25">
        <v>0.80600000000000005</v>
      </c>
      <c r="G51" s="24">
        <v>136</v>
      </c>
      <c r="H51" s="26">
        <v>1.6</v>
      </c>
      <c r="I51" s="26">
        <v>2.4</v>
      </c>
      <c r="J51" s="24">
        <v>45</v>
      </c>
      <c r="K51" s="24">
        <v>8</v>
      </c>
      <c r="L51" s="24">
        <v>626</v>
      </c>
      <c r="M51" s="26">
        <f>L51/D51</f>
        <v>8.0256410256410255</v>
      </c>
      <c r="N51" s="12"/>
    </row>
    <row r="52" spans="2:14" s="28" customFormat="1" ht="15" customHeight="1">
      <c r="B52" s="9"/>
      <c r="C52" s="1"/>
      <c r="D52" s="10"/>
      <c r="E52" s="11"/>
      <c r="F52" s="11"/>
      <c r="G52" s="10"/>
      <c r="H52" s="12"/>
      <c r="I52" s="12"/>
      <c r="J52" s="10"/>
      <c r="K52" s="10"/>
      <c r="L52" s="10"/>
      <c r="M52" s="12"/>
      <c r="N52" s="12"/>
    </row>
    <row r="53" spans="2:14" ht="15" customHeight="1">
      <c r="B53" s="30" t="s">
        <v>239</v>
      </c>
    </row>
    <row r="54" spans="2:14" ht="15" customHeight="1">
      <c r="B54" s="19" t="s">
        <v>2</v>
      </c>
      <c r="C54" s="20" t="s">
        <v>3</v>
      </c>
      <c r="D54" s="21" t="s">
        <v>4</v>
      </c>
      <c r="E54" s="22" t="s">
        <v>5</v>
      </c>
      <c r="F54" s="22" t="s">
        <v>6</v>
      </c>
      <c r="G54" s="21" t="s">
        <v>7</v>
      </c>
      <c r="H54" s="23" t="s">
        <v>8</v>
      </c>
      <c r="I54" s="23" t="s">
        <v>9</v>
      </c>
      <c r="J54" s="21" t="s">
        <v>10</v>
      </c>
      <c r="K54" s="21" t="s">
        <v>11</v>
      </c>
      <c r="L54" s="21" t="s">
        <v>12</v>
      </c>
      <c r="M54" s="23" t="s">
        <v>13</v>
      </c>
      <c r="N54" s="8"/>
    </row>
    <row r="55" spans="2:14" ht="15" customHeight="1">
      <c r="B55" s="24">
        <v>2024</v>
      </c>
      <c r="C55" s="18" t="s">
        <v>126</v>
      </c>
      <c r="D55" s="24">
        <v>31</v>
      </c>
      <c r="E55" s="25">
        <v>0.44500000000000001</v>
      </c>
      <c r="F55" s="25">
        <v>0.54800000000000004</v>
      </c>
      <c r="G55" s="24">
        <v>18</v>
      </c>
      <c r="H55" s="26">
        <v>2.6</v>
      </c>
      <c r="I55" s="26">
        <v>4.8</v>
      </c>
      <c r="J55" s="24">
        <v>25</v>
      </c>
      <c r="K55" s="24">
        <v>15</v>
      </c>
      <c r="L55" s="24">
        <v>197</v>
      </c>
      <c r="M55" s="26">
        <f>L55/D55</f>
        <v>6.354838709677419</v>
      </c>
      <c r="N55" s="12"/>
    </row>
    <row r="56" spans="2:14" ht="15" customHeight="1">
      <c r="B56" s="27" t="s">
        <v>15</v>
      </c>
      <c r="C56" s="18" t="s">
        <v>59</v>
      </c>
      <c r="D56" s="24">
        <v>428</v>
      </c>
      <c r="E56" s="25">
        <v>0.44700000000000001</v>
      </c>
      <c r="F56" s="25">
        <v>0.81200000000000006</v>
      </c>
      <c r="G56" s="24">
        <v>380</v>
      </c>
      <c r="H56" s="26">
        <v>3.2</v>
      </c>
      <c r="I56" s="26">
        <v>6.7</v>
      </c>
      <c r="J56" s="24">
        <v>533</v>
      </c>
      <c r="K56" s="24">
        <v>191</v>
      </c>
      <c r="L56" s="24">
        <v>4278</v>
      </c>
      <c r="M56" s="26">
        <f>L56/D56</f>
        <v>9.9953271028037385</v>
      </c>
      <c r="N56" s="12"/>
    </row>
    <row r="58" spans="2:14" ht="15" customHeight="1">
      <c r="B58" s="30" t="s">
        <v>240</v>
      </c>
    </row>
    <row r="59" spans="2:14" ht="15" customHeight="1">
      <c r="B59" s="19" t="s">
        <v>2</v>
      </c>
      <c r="C59" s="20" t="s">
        <v>3</v>
      </c>
      <c r="D59" s="21" t="s">
        <v>4</v>
      </c>
      <c r="E59" s="22" t="s">
        <v>5</v>
      </c>
      <c r="F59" s="22" t="s">
        <v>6</v>
      </c>
      <c r="G59" s="21" t="s">
        <v>7</v>
      </c>
      <c r="H59" s="23" t="s">
        <v>8</v>
      </c>
      <c r="I59" s="23" t="s">
        <v>9</v>
      </c>
      <c r="J59" s="21" t="s">
        <v>10</v>
      </c>
      <c r="K59" s="21" t="s">
        <v>11</v>
      </c>
      <c r="L59" s="21" t="s">
        <v>12</v>
      </c>
      <c r="M59" s="23" t="s">
        <v>13</v>
      </c>
      <c r="N59" s="8"/>
    </row>
    <row r="60" spans="2:14" ht="15" customHeight="1">
      <c r="B60" s="24">
        <v>2024</v>
      </c>
      <c r="C60" s="18" t="s">
        <v>126</v>
      </c>
      <c r="D60" s="24">
        <v>38</v>
      </c>
      <c r="E60" s="25">
        <v>0.45800000000000002</v>
      </c>
      <c r="F60" s="25">
        <v>0.84499999999999997</v>
      </c>
      <c r="G60" s="24">
        <v>46</v>
      </c>
      <c r="H60" s="26">
        <v>8.5</v>
      </c>
      <c r="I60" s="26">
        <v>3.5</v>
      </c>
      <c r="J60" s="24">
        <v>64</v>
      </c>
      <c r="K60" s="24">
        <v>48</v>
      </c>
      <c r="L60" s="24">
        <v>777</v>
      </c>
      <c r="M60" s="26">
        <f>L60/D60</f>
        <v>20.44736842105263</v>
      </c>
      <c r="N60" s="12"/>
    </row>
    <row r="61" spans="2:14" ht="15" customHeight="1">
      <c r="B61" s="27" t="s">
        <v>15</v>
      </c>
      <c r="C61" s="18" t="s">
        <v>25</v>
      </c>
      <c r="D61" s="24">
        <v>261</v>
      </c>
      <c r="E61" s="25">
        <v>0.47</v>
      </c>
      <c r="F61" s="25">
        <v>0.83599999999999997</v>
      </c>
      <c r="G61" s="24">
        <v>433</v>
      </c>
      <c r="H61" s="26">
        <v>8.6999999999999993</v>
      </c>
      <c r="I61" s="26">
        <v>3.1</v>
      </c>
      <c r="J61" s="24">
        <v>368</v>
      </c>
      <c r="K61" s="24">
        <v>382</v>
      </c>
      <c r="L61" s="24">
        <v>5419</v>
      </c>
      <c r="M61" s="26">
        <f>L61/D61</f>
        <v>20.762452107279692</v>
      </c>
      <c r="N61" s="12"/>
    </row>
    <row r="63" spans="2:14" ht="15" customHeight="1">
      <c r="B63" s="30" t="s">
        <v>241</v>
      </c>
    </row>
    <row r="64" spans="2:14" ht="15" customHeight="1">
      <c r="B64" s="19" t="s">
        <v>2</v>
      </c>
      <c r="C64" s="20" t="s">
        <v>3</v>
      </c>
      <c r="D64" s="21" t="s">
        <v>4</v>
      </c>
      <c r="E64" s="22" t="s">
        <v>5</v>
      </c>
      <c r="F64" s="22" t="s">
        <v>6</v>
      </c>
      <c r="G64" s="21" t="s">
        <v>7</v>
      </c>
      <c r="H64" s="23" t="s">
        <v>8</v>
      </c>
      <c r="I64" s="23" t="s">
        <v>9</v>
      </c>
      <c r="J64" s="21" t="s">
        <v>10</v>
      </c>
      <c r="K64" s="21" t="s">
        <v>11</v>
      </c>
      <c r="L64" s="21" t="s">
        <v>12</v>
      </c>
      <c r="M64" s="23" t="s">
        <v>13</v>
      </c>
      <c r="N64" s="8"/>
    </row>
    <row r="65" spans="2:14" ht="15" customHeight="1">
      <c r="B65" s="24">
        <v>2022</v>
      </c>
      <c r="C65" s="18" t="s">
        <v>90</v>
      </c>
      <c r="D65" s="24">
        <v>33</v>
      </c>
      <c r="E65" s="25">
        <v>0.35499999999999998</v>
      </c>
      <c r="F65" s="25">
        <v>0.84</v>
      </c>
      <c r="G65" s="24">
        <v>21</v>
      </c>
      <c r="H65" s="26">
        <v>1</v>
      </c>
      <c r="I65" s="26">
        <v>1.8</v>
      </c>
      <c r="J65" s="24">
        <v>20</v>
      </c>
      <c r="K65" s="24">
        <v>3</v>
      </c>
      <c r="L65" s="24">
        <v>130</v>
      </c>
      <c r="M65" s="26">
        <f>L65/D65</f>
        <v>3.9393939393939394</v>
      </c>
      <c r="N65" s="12"/>
    </row>
    <row r="66" spans="2:14" ht="15" customHeight="1">
      <c r="B66" s="27" t="s">
        <v>15</v>
      </c>
      <c r="C66" s="18" t="s">
        <v>42</v>
      </c>
      <c r="D66" s="24">
        <v>305</v>
      </c>
      <c r="E66" s="25">
        <v>0.40600000000000003</v>
      </c>
      <c r="F66" s="25">
        <v>0.86399999999999999</v>
      </c>
      <c r="G66" s="24">
        <v>365</v>
      </c>
      <c r="H66" s="26">
        <v>2.2999999999999998</v>
      </c>
      <c r="I66" s="26">
        <v>2.6</v>
      </c>
      <c r="J66" s="24">
        <v>426</v>
      </c>
      <c r="K66" s="24">
        <v>72</v>
      </c>
      <c r="L66" s="24">
        <v>3363</v>
      </c>
      <c r="M66" s="26">
        <f>L66/D66</f>
        <v>11.026229508196721</v>
      </c>
      <c r="N66" s="12"/>
    </row>
    <row r="67" spans="2:14" ht="15" customHeight="1">
      <c r="B67" s="9"/>
      <c r="D67" s="10"/>
      <c r="E67" s="11"/>
      <c r="F67" s="11"/>
      <c r="G67" s="10"/>
      <c r="H67" s="12"/>
      <c r="I67" s="12"/>
      <c r="J67" s="10"/>
      <c r="K67" s="10"/>
      <c r="L67" s="10"/>
      <c r="M67" s="12"/>
      <c r="N67" s="12"/>
    </row>
    <row r="68" spans="2:14" ht="15" customHeight="1">
      <c r="B68" s="30" t="s">
        <v>242</v>
      </c>
    </row>
    <row r="69" spans="2:14" ht="15" customHeight="1">
      <c r="B69" s="19" t="s">
        <v>2</v>
      </c>
      <c r="C69" s="20" t="s">
        <v>3</v>
      </c>
      <c r="D69" s="21" t="s">
        <v>4</v>
      </c>
      <c r="E69" s="22" t="s">
        <v>5</v>
      </c>
      <c r="F69" s="22" t="s">
        <v>6</v>
      </c>
      <c r="G69" s="21" t="s">
        <v>7</v>
      </c>
      <c r="H69" s="23" t="s">
        <v>8</v>
      </c>
      <c r="I69" s="23" t="s">
        <v>9</v>
      </c>
      <c r="J69" s="21" t="s">
        <v>10</v>
      </c>
      <c r="K69" s="21" t="s">
        <v>11</v>
      </c>
      <c r="L69" s="21" t="s">
        <v>12</v>
      </c>
      <c r="M69" s="23" t="s">
        <v>13</v>
      </c>
      <c r="N69" s="8"/>
    </row>
    <row r="70" spans="2:14" ht="15" customHeight="1">
      <c r="B70" s="24">
        <v>2024</v>
      </c>
      <c r="C70" s="18" t="s">
        <v>126</v>
      </c>
      <c r="D70" s="24">
        <v>39</v>
      </c>
      <c r="E70" s="25">
        <v>0.53900000000000003</v>
      </c>
      <c r="F70" s="25">
        <v>0.78800000000000003</v>
      </c>
      <c r="G70" s="24">
        <v>59</v>
      </c>
      <c r="H70" s="26">
        <v>9</v>
      </c>
      <c r="I70" s="26">
        <v>3.2</v>
      </c>
      <c r="J70" s="24">
        <v>30</v>
      </c>
      <c r="K70" s="24">
        <v>50</v>
      </c>
      <c r="L70" s="24">
        <v>553</v>
      </c>
      <c r="M70" s="26">
        <f>L70/D70</f>
        <v>14.179487179487179</v>
      </c>
      <c r="N70" s="12"/>
    </row>
    <row r="71" spans="2:14" ht="15" customHeight="1">
      <c r="B71" s="27" t="s">
        <v>15</v>
      </c>
      <c r="C71" s="18" t="s">
        <v>25</v>
      </c>
      <c r="D71" s="24">
        <v>275</v>
      </c>
      <c r="E71" s="25">
        <v>0.51700000000000002</v>
      </c>
      <c r="F71" s="25">
        <v>0.79400000000000004</v>
      </c>
      <c r="G71" s="24">
        <v>303</v>
      </c>
      <c r="H71" s="26">
        <v>8.4</v>
      </c>
      <c r="I71" s="26">
        <v>1.9</v>
      </c>
      <c r="J71" s="24">
        <v>231</v>
      </c>
      <c r="K71" s="24">
        <v>371</v>
      </c>
      <c r="L71" s="24">
        <v>3663</v>
      </c>
      <c r="M71" s="26">
        <f>L71/D71</f>
        <v>13.32</v>
      </c>
      <c r="N71" s="12"/>
    </row>
    <row r="73" spans="2:14" ht="15" customHeight="1">
      <c r="B73" s="30" t="s">
        <v>243</v>
      </c>
      <c r="N73" s="8"/>
    </row>
    <row r="74" spans="2:14" ht="15" customHeight="1">
      <c r="B74" s="19" t="s">
        <v>2</v>
      </c>
      <c r="C74" s="20" t="s">
        <v>3</v>
      </c>
      <c r="D74" s="21" t="s">
        <v>4</v>
      </c>
      <c r="E74" s="22" t="s">
        <v>5</v>
      </c>
      <c r="F74" s="22" t="s">
        <v>6</v>
      </c>
      <c r="G74" s="21" t="s">
        <v>7</v>
      </c>
      <c r="H74" s="23" t="s">
        <v>8</v>
      </c>
      <c r="I74" s="23" t="s">
        <v>9</v>
      </c>
      <c r="J74" s="21" t="s">
        <v>10</v>
      </c>
      <c r="K74" s="21" t="s">
        <v>11</v>
      </c>
      <c r="L74" s="21" t="s">
        <v>12</v>
      </c>
      <c r="M74" s="23" t="s">
        <v>13</v>
      </c>
      <c r="N74" s="12"/>
    </row>
    <row r="75" spans="2:14" ht="15" customHeight="1">
      <c r="B75" s="24">
        <v>2024</v>
      </c>
      <c r="C75" s="18" t="s">
        <v>126</v>
      </c>
      <c r="D75" s="24">
        <v>10</v>
      </c>
      <c r="E75" s="25">
        <v>0.5</v>
      </c>
      <c r="F75" s="25">
        <v>0.5</v>
      </c>
      <c r="G75" s="24">
        <v>2</v>
      </c>
      <c r="H75" s="26">
        <v>0.3</v>
      </c>
      <c r="I75" s="26">
        <v>0.5</v>
      </c>
      <c r="J75" s="24">
        <v>3</v>
      </c>
      <c r="K75" s="24">
        <v>1</v>
      </c>
      <c r="L75" s="24">
        <v>19</v>
      </c>
      <c r="M75" s="26">
        <f>L75/D75</f>
        <v>1.9</v>
      </c>
      <c r="N75" s="12"/>
    </row>
    <row r="76" spans="2:14" ht="15" customHeight="1">
      <c r="B76" s="27" t="s">
        <v>15</v>
      </c>
      <c r="C76" s="18" t="s">
        <v>40</v>
      </c>
      <c r="D76" s="24">
        <v>10</v>
      </c>
      <c r="E76" s="25">
        <v>0.5</v>
      </c>
      <c r="F76" s="25">
        <v>0.5</v>
      </c>
      <c r="G76" s="24">
        <v>2</v>
      </c>
      <c r="H76" s="26">
        <v>0.3</v>
      </c>
      <c r="I76" s="26">
        <v>0.5</v>
      </c>
      <c r="J76" s="24">
        <v>3</v>
      </c>
      <c r="K76" s="24">
        <v>1</v>
      </c>
      <c r="L76" s="24">
        <v>19</v>
      </c>
      <c r="M76" s="26">
        <f>L76/D76</f>
        <v>1.9</v>
      </c>
      <c r="N76" s="17"/>
    </row>
    <row r="77" spans="2:14" ht="15" customHeight="1">
      <c r="B77" s="15"/>
      <c r="C77" s="5"/>
      <c r="D77" s="5"/>
      <c r="E77" s="16"/>
      <c r="F77" s="16"/>
      <c r="G77" s="5"/>
      <c r="H77" s="17"/>
      <c r="I77" s="17"/>
      <c r="J77" s="5"/>
      <c r="K77" s="5"/>
      <c r="L77" s="17"/>
      <c r="M77" s="17"/>
    </row>
    <row r="78" spans="2:14" ht="15" customHeight="1">
      <c r="B78" s="30" t="s">
        <v>244</v>
      </c>
      <c r="N78" s="8"/>
    </row>
    <row r="79" spans="2:14" ht="15" customHeight="1">
      <c r="B79" s="19" t="s">
        <v>2</v>
      </c>
      <c r="C79" s="20" t="s">
        <v>3</v>
      </c>
      <c r="D79" s="21" t="s">
        <v>4</v>
      </c>
      <c r="E79" s="22" t="s">
        <v>5</v>
      </c>
      <c r="F79" s="22" t="s">
        <v>6</v>
      </c>
      <c r="G79" s="21" t="s">
        <v>7</v>
      </c>
      <c r="H79" s="23" t="s">
        <v>8</v>
      </c>
      <c r="I79" s="23" t="s">
        <v>9</v>
      </c>
      <c r="J79" s="21" t="s">
        <v>10</v>
      </c>
      <c r="K79" s="21" t="s">
        <v>11</v>
      </c>
      <c r="L79" s="21" t="s">
        <v>12</v>
      </c>
      <c r="M79" s="23" t="s">
        <v>13</v>
      </c>
      <c r="N79" s="12"/>
    </row>
    <row r="80" spans="2:14" ht="15" customHeight="1">
      <c r="B80" s="24">
        <v>2024</v>
      </c>
      <c r="C80" s="18" t="s">
        <v>126</v>
      </c>
      <c r="D80" s="24">
        <v>20</v>
      </c>
      <c r="E80" s="25">
        <v>0.40899999999999997</v>
      </c>
      <c r="F80" s="25">
        <v>0.71399999999999997</v>
      </c>
      <c r="G80" s="24">
        <v>1</v>
      </c>
      <c r="H80" s="26">
        <v>0.5</v>
      </c>
      <c r="I80" s="26">
        <v>0.2</v>
      </c>
      <c r="J80" s="24">
        <v>1</v>
      </c>
      <c r="K80" s="24">
        <v>4</v>
      </c>
      <c r="L80" s="24">
        <v>24</v>
      </c>
      <c r="M80" s="26">
        <f>L80/D80</f>
        <v>1.2</v>
      </c>
      <c r="N80" s="12"/>
    </row>
    <row r="81" spans="2:14" ht="15" customHeight="1">
      <c r="B81" s="27" t="s">
        <v>15</v>
      </c>
      <c r="C81" s="18" t="s">
        <v>40</v>
      </c>
      <c r="D81" s="24">
        <v>20</v>
      </c>
      <c r="E81" s="25">
        <v>0.40899999999999997</v>
      </c>
      <c r="F81" s="25">
        <v>0.71399999999999997</v>
      </c>
      <c r="G81" s="24">
        <v>1</v>
      </c>
      <c r="H81" s="26">
        <v>0.5</v>
      </c>
      <c r="I81" s="26">
        <v>0.2</v>
      </c>
      <c r="J81" s="24">
        <v>1</v>
      </c>
      <c r="K81" s="24">
        <v>4</v>
      </c>
      <c r="L81" s="24">
        <v>24</v>
      </c>
      <c r="M81" s="26">
        <f>L81/D81</f>
        <v>1.2</v>
      </c>
      <c r="N81" s="17"/>
    </row>
    <row r="82" spans="2:14" ht="15" customHeight="1">
      <c r="B82" s="15"/>
      <c r="C82" s="5"/>
      <c r="D82" s="5"/>
      <c r="E82" s="16"/>
      <c r="F82" s="16"/>
      <c r="G82" s="5"/>
      <c r="H82" s="17"/>
      <c r="I82" s="17"/>
      <c r="J82" s="5"/>
      <c r="K82" s="5"/>
      <c r="L82" s="17"/>
      <c r="M82" s="17"/>
    </row>
    <row r="83" spans="2:14" ht="15" customHeight="1">
      <c r="B83" s="30" t="s">
        <v>245</v>
      </c>
    </row>
    <row r="84" spans="2:14" ht="15" customHeight="1">
      <c r="B84" s="19" t="s">
        <v>2</v>
      </c>
      <c r="C84" s="20" t="s">
        <v>3</v>
      </c>
      <c r="D84" s="21" t="s">
        <v>4</v>
      </c>
      <c r="E84" s="22" t="s">
        <v>5</v>
      </c>
      <c r="F84" s="22" t="s">
        <v>6</v>
      </c>
      <c r="G84" s="21" t="s">
        <v>7</v>
      </c>
      <c r="H84" s="23" t="s">
        <v>8</v>
      </c>
      <c r="I84" s="23" t="s">
        <v>9</v>
      </c>
      <c r="J84" s="21" t="s">
        <v>10</v>
      </c>
      <c r="K84" s="21" t="s">
        <v>11</v>
      </c>
      <c r="L84" s="21" t="s">
        <v>12</v>
      </c>
      <c r="M84" s="23" t="s">
        <v>13</v>
      </c>
    </row>
    <row r="85" spans="2:14" ht="15" customHeight="1">
      <c r="B85" s="24">
        <v>2024</v>
      </c>
      <c r="C85" s="18" t="s">
        <v>126</v>
      </c>
      <c r="D85" s="24">
        <v>26</v>
      </c>
      <c r="E85" s="25">
        <v>0.57499999999999996</v>
      </c>
      <c r="F85" s="25">
        <v>0.7</v>
      </c>
      <c r="G85" s="24">
        <v>0</v>
      </c>
      <c r="H85" s="26">
        <v>4</v>
      </c>
      <c r="I85" s="26">
        <v>0.6</v>
      </c>
      <c r="J85" s="24">
        <v>23</v>
      </c>
      <c r="K85" s="24">
        <v>19</v>
      </c>
      <c r="L85" s="24">
        <v>128</v>
      </c>
      <c r="M85" s="26">
        <f>L85/D85</f>
        <v>4.9230769230769234</v>
      </c>
    </row>
    <row r="86" spans="2:14" ht="15" customHeight="1">
      <c r="B86" s="27" t="s">
        <v>15</v>
      </c>
      <c r="C86" s="18" t="s">
        <v>38</v>
      </c>
      <c r="D86" s="24">
        <v>59</v>
      </c>
      <c r="E86" s="25">
        <v>0.51400000000000001</v>
      </c>
      <c r="F86" s="25">
        <v>0.72199999999999998</v>
      </c>
      <c r="G86" s="24">
        <v>2</v>
      </c>
      <c r="H86" s="26">
        <v>3</v>
      </c>
      <c r="I86" s="26">
        <v>0.4</v>
      </c>
      <c r="J86" s="24">
        <v>27</v>
      </c>
      <c r="K86" s="24">
        <v>26</v>
      </c>
      <c r="L86" s="24">
        <v>204</v>
      </c>
      <c r="M86" s="26">
        <f>L86/D86</f>
        <v>3.4576271186440679</v>
      </c>
    </row>
    <row r="88" spans="2:14" ht="15" customHeight="1">
      <c r="B88" s="30" t="s">
        <v>246</v>
      </c>
    </row>
    <row r="89" spans="2:14" ht="15" customHeight="1">
      <c r="B89" s="19" t="s">
        <v>2</v>
      </c>
      <c r="C89" s="20" t="s">
        <v>3</v>
      </c>
      <c r="D89" s="21" t="s">
        <v>4</v>
      </c>
      <c r="E89" s="22" t="s">
        <v>5</v>
      </c>
      <c r="F89" s="22" t="s">
        <v>6</v>
      </c>
      <c r="G89" s="21" t="s">
        <v>7</v>
      </c>
      <c r="H89" s="23" t="s">
        <v>8</v>
      </c>
      <c r="I89" s="23" t="s">
        <v>9</v>
      </c>
      <c r="J89" s="21" t="s">
        <v>10</v>
      </c>
      <c r="K89" s="21" t="s">
        <v>11</v>
      </c>
      <c r="L89" s="21" t="s">
        <v>12</v>
      </c>
      <c r="M89" s="23" t="s">
        <v>13</v>
      </c>
    </row>
    <row r="90" spans="2:14" ht="15" customHeight="1">
      <c r="B90" s="24">
        <v>2024</v>
      </c>
      <c r="C90" s="18" t="s">
        <v>126</v>
      </c>
      <c r="D90" s="24">
        <v>26</v>
      </c>
      <c r="E90" s="25">
        <v>0.33800000000000002</v>
      </c>
      <c r="F90" s="25">
        <v>0.77800000000000002</v>
      </c>
      <c r="G90" s="24">
        <v>16</v>
      </c>
      <c r="H90" s="26">
        <v>0.8</v>
      </c>
      <c r="I90" s="26">
        <v>0.8</v>
      </c>
      <c r="J90" s="24">
        <v>9</v>
      </c>
      <c r="K90" s="24">
        <v>1</v>
      </c>
      <c r="L90" s="24">
        <v>87</v>
      </c>
      <c r="M90" s="26">
        <f>L90/D90</f>
        <v>3.3461538461538463</v>
      </c>
    </row>
    <row r="91" spans="2:14" ht="15" customHeight="1">
      <c r="B91" s="27" t="s">
        <v>15</v>
      </c>
      <c r="C91" s="18" t="s">
        <v>247</v>
      </c>
      <c r="D91" s="24">
        <v>49</v>
      </c>
      <c r="E91" s="25">
        <v>0.378</v>
      </c>
      <c r="F91" s="25">
        <v>0.74299999999999999</v>
      </c>
      <c r="G91" s="24">
        <v>39</v>
      </c>
      <c r="H91" s="26">
        <v>1.3</v>
      </c>
      <c r="I91" s="26">
        <v>1.7</v>
      </c>
      <c r="J91" s="24">
        <v>27</v>
      </c>
      <c r="K91" s="24">
        <v>5</v>
      </c>
      <c r="L91" s="24">
        <v>237</v>
      </c>
      <c r="M91" s="26">
        <f>L91/D91</f>
        <v>4.8367346938775508</v>
      </c>
    </row>
    <row r="93" spans="2:14" ht="15" customHeight="1">
      <c r="B93" s="30" t="s">
        <v>248</v>
      </c>
    </row>
    <row r="94" spans="2:14" ht="15" customHeight="1">
      <c r="B94" s="19" t="s">
        <v>2</v>
      </c>
      <c r="C94" s="20" t="s">
        <v>3</v>
      </c>
      <c r="D94" s="21" t="s">
        <v>4</v>
      </c>
      <c r="E94" s="22" t="s">
        <v>5</v>
      </c>
      <c r="F94" s="22" t="s">
        <v>6</v>
      </c>
      <c r="G94" s="21" t="s">
        <v>7</v>
      </c>
      <c r="H94" s="23" t="s">
        <v>8</v>
      </c>
      <c r="I94" s="23" t="s">
        <v>9</v>
      </c>
      <c r="J94" s="21" t="s">
        <v>10</v>
      </c>
      <c r="K94" s="21" t="s">
        <v>11</v>
      </c>
      <c r="L94" s="21" t="s">
        <v>12</v>
      </c>
      <c r="M94" s="23" t="s">
        <v>13</v>
      </c>
    </row>
    <row r="95" spans="2:14" ht="15" customHeight="1">
      <c r="B95" s="24">
        <v>2024</v>
      </c>
      <c r="C95" s="18" t="s">
        <v>126</v>
      </c>
      <c r="D95" s="24">
        <v>40</v>
      </c>
      <c r="E95" s="25">
        <v>0.47799999999999998</v>
      </c>
      <c r="F95" s="25">
        <v>0.72</v>
      </c>
      <c r="G95" s="24">
        <v>55</v>
      </c>
      <c r="H95" s="26">
        <v>3</v>
      </c>
      <c r="I95" s="26">
        <v>1.8</v>
      </c>
      <c r="J95" s="24">
        <v>38</v>
      </c>
      <c r="K95" s="24">
        <v>7</v>
      </c>
      <c r="L95" s="24">
        <v>267</v>
      </c>
      <c r="M95" s="26">
        <f>L95/D95</f>
        <v>6.6749999999999998</v>
      </c>
    </row>
    <row r="96" spans="2:14" ht="15" customHeight="1">
      <c r="B96" s="27" t="s">
        <v>15</v>
      </c>
      <c r="C96" s="18" t="s">
        <v>40</v>
      </c>
      <c r="D96" s="24">
        <v>40</v>
      </c>
      <c r="E96" s="25">
        <v>0.47799999999999998</v>
      </c>
      <c r="F96" s="25">
        <v>0.72</v>
      </c>
      <c r="G96" s="24">
        <v>55</v>
      </c>
      <c r="H96" s="26">
        <v>3</v>
      </c>
      <c r="I96" s="26">
        <v>1.8</v>
      </c>
      <c r="J96" s="24">
        <v>38</v>
      </c>
      <c r="K96" s="24">
        <v>7</v>
      </c>
      <c r="L96" s="24">
        <v>267</v>
      </c>
      <c r="M96" s="26">
        <f>L96/D96</f>
        <v>6.6749999999999998</v>
      </c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N77"/>
  <sheetViews>
    <sheetView topLeftCell="A25" zoomScale="120" zoomScaleNormal="120" workbookViewId="0">
      <selection activeCell="B38" sqref="B38"/>
    </sheetView>
  </sheetViews>
  <sheetFormatPr defaultColWidth="45" defaultRowHeight="15" customHeight="1"/>
  <cols>
    <col min="1" max="1" width="2.7109375" style="1" customWidth="1"/>
    <col min="2" max="2" width="17.7109375" style="13" bestFit="1" customWidth="1"/>
    <col min="3" max="3" width="19.140625" style="1" bestFit="1" customWidth="1"/>
    <col min="4" max="4" width="4.28515625" style="1" customWidth="1"/>
    <col min="5" max="5" width="7.42578125" style="2" bestFit="1" customWidth="1"/>
    <col min="6" max="6" width="4.85546875" style="2" bestFit="1" customWidth="1"/>
    <col min="7" max="7" width="4.42578125" style="1" bestFit="1" customWidth="1"/>
    <col min="8" max="8" width="4.140625" style="3" bestFit="1" customWidth="1"/>
    <col min="9" max="9" width="4.28515625" style="3" bestFit="1" customWidth="1"/>
    <col min="10" max="10" width="5.140625" style="1" customWidth="1"/>
    <col min="11" max="11" width="4.42578125" style="1" bestFit="1" customWidth="1"/>
    <col min="12" max="12" width="5.28515625" style="1" bestFit="1" customWidth="1"/>
    <col min="13" max="13" width="4.42578125" style="3" bestFit="1" customWidth="1"/>
    <col min="14" max="14" width="4.42578125" style="3" customWidth="1"/>
    <col min="15" max="16384" width="45" style="1"/>
  </cols>
  <sheetData>
    <row r="1" spans="2:14" ht="15" customHeight="1">
      <c r="B1" s="33" t="s">
        <v>249</v>
      </c>
    </row>
    <row r="3" spans="2:14" ht="15" customHeight="1">
      <c r="B3" s="30" t="s">
        <v>250</v>
      </c>
    </row>
    <row r="4" spans="2:14" ht="15" customHeight="1">
      <c r="B4" s="19" t="s">
        <v>2</v>
      </c>
      <c r="C4" s="20" t="s">
        <v>3</v>
      </c>
      <c r="D4" s="21" t="s">
        <v>4</v>
      </c>
      <c r="E4" s="22" t="s">
        <v>5</v>
      </c>
      <c r="F4" s="22" t="s">
        <v>6</v>
      </c>
      <c r="G4" s="21" t="s">
        <v>7</v>
      </c>
      <c r="H4" s="23" t="s">
        <v>8</v>
      </c>
      <c r="I4" s="23" t="s">
        <v>9</v>
      </c>
      <c r="J4" s="21" t="s">
        <v>10</v>
      </c>
      <c r="K4" s="21" t="s">
        <v>11</v>
      </c>
      <c r="L4" s="21" t="s">
        <v>12</v>
      </c>
      <c r="M4" s="23" t="s">
        <v>13</v>
      </c>
      <c r="N4" s="8"/>
    </row>
    <row r="5" spans="2:14" ht="15" customHeight="1">
      <c r="B5" s="24">
        <v>2024</v>
      </c>
      <c r="C5" s="18" t="s">
        <v>37</v>
      </c>
      <c r="D5" s="24">
        <v>30</v>
      </c>
      <c r="E5" s="25">
        <v>0.57899999999999996</v>
      </c>
      <c r="F5" s="25">
        <v>0.77700000000000002</v>
      </c>
      <c r="G5" s="24">
        <v>9</v>
      </c>
      <c r="H5" s="26">
        <v>6.6</v>
      </c>
      <c r="I5" s="26">
        <v>2.2999999999999998</v>
      </c>
      <c r="J5" s="24">
        <v>16</v>
      </c>
      <c r="K5" s="24">
        <v>46</v>
      </c>
      <c r="L5" s="24">
        <v>534</v>
      </c>
      <c r="M5" s="26">
        <f>L5/D5</f>
        <v>17.8</v>
      </c>
      <c r="N5" s="12"/>
    </row>
    <row r="6" spans="2:14" ht="15" customHeight="1">
      <c r="B6" s="27" t="s">
        <v>15</v>
      </c>
      <c r="C6" s="18" t="s">
        <v>16</v>
      </c>
      <c r="D6" s="24">
        <v>315</v>
      </c>
      <c r="E6" s="25">
        <v>0.56200000000000006</v>
      </c>
      <c r="F6" s="25">
        <v>0.79900000000000004</v>
      </c>
      <c r="G6" s="24">
        <v>16</v>
      </c>
      <c r="H6" s="26">
        <v>7.4</v>
      </c>
      <c r="I6" s="26">
        <v>1.9</v>
      </c>
      <c r="J6" s="24">
        <v>161</v>
      </c>
      <c r="K6" s="24">
        <v>812</v>
      </c>
      <c r="L6" s="24">
        <v>5572</v>
      </c>
      <c r="M6" s="26">
        <f>L6/D6</f>
        <v>17.68888888888889</v>
      </c>
      <c r="N6" s="12"/>
    </row>
    <row r="7" spans="2:14" ht="15" customHeight="1">
      <c r="D7" s="14"/>
    </row>
    <row r="8" spans="2:14" ht="15" customHeight="1">
      <c r="B8" s="30" t="s">
        <v>251</v>
      </c>
    </row>
    <row r="9" spans="2:14" ht="15" customHeight="1">
      <c r="B9" s="19" t="s">
        <v>2</v>
      </c>
      <c r="C9" s="20" t="s">
        <v>3</v>
      </c>
      <c r="D9" s="21" t="s">
        <v>4</v>
      </c>
      <c r="E9" s="22" t="s">
        <v>5</v>
      </c>
      <c r="F9" s="22" t="s">
        <v>6</v>
      </c>
      <c r="G9" s="21" t="s">
        <v>7</v>
      </c>
      <c r="H9" s="23" t="s">
        <v>8</v>
      </c>
      <c r="I9" s="23" t="s">
        <v>9</v>
      </c>
      <c r="J9" s="21" t="s">
        <v>10</v>
      </c>
      <c r="K9" s="21" t="s">
        <v>11</v>
      </c>
      <c r="L9" s="21" t="s">
        <v>12</v>
      </c>
      <c r="M9" s="23" t="s">
        <v>13</v>
      </c>
      <c r="N9" s="8"/>
    </row>
    <row r="10" spans="2:14" ht="15" customHeight="1">
      <c r="B10" s="24">
        <v>2024</v>
      </c>
      <c r="C10" s="18" t="s">
        <v>37</v>
      </c>
      <c r="D10" s="24">
        <v>36</v>
      </c>
      <c r="E10" s="25">
        <v>0.4</v>
      </c>
      <c r="F10" s="25">
        <v>0.85699999999999998</v>
      </c>
      <c r="G10" s="24">
        <v>86</v>
      </c>
      <c r="H10" s="26">
        <v>3.8</v>
      </c>
      <c r="I10" s="26">
        <v>3.4</v>
      </c>
      <c r="J10" s="24">
        <v>22</v>
      </c>
      <c r="K10" s="24">
        <v>10</v>
      </c>
      <c r="L10" s="24">
        <v>538</v>
      </c>
      <c r="M10" s="26">
        <f>L10/D10</f>
        <v>14.944444444444445</v>
      </c>
      <c r="N10" s="12"/>
    </row>
    <row r="11" spans="2:14" ht="15" customHeight="1">
      <c r="B11" s="27" t="s">
        <v>15</v>
      </c>
      <c r="C11" s="18" t="s">
        <v>252</v>
      </c>
      <c r="D11" s="24">
        <v>565</v>
      </c>
      <c r="E11" s="25">
        <v>0.42499999999999999</v>
      </c>
      <c r="F11" s="25">
        <v>0.87</v>
      </c>
      <c r="G11" s="24">
        <v>1447</v>
      </c>
      <c r="H11" s="26">
        <v>3.5</v>
      </c>
      <c r="I11" s="26">
        <v>3.9</v>
      </c>
      <c r="J11" s="24">
        <v>518</v>
      </c>
      <c r="K11" s="24">
        <v>351</v>
      </c>
      <c r="L11" s="24">
        <v>10646</v>
      </c>
      <c r="M11" s="26">
        <f>L11/D11</f>
        <v>18.842477876106194</v>
      </c>
      <c r="N11" s="12"/>
    </row>
    <row r="13" spans="2:14" ht="15" customHeight="1">
      <c r="B13" s="30" t="s">
        <v>253</v>
      </c>
    </row>
    <row r="14" spans="2:14" ht="15" customHeight="1">
      <c r="B14" s="19" t="s">
        <v>2</v>
      </c>
      <c r="C14" s="20" t="s">
        <v>3</v>
      </c>
      <c r="D14" s="21" t="s">
        <v>4</v>
      </c>
      <c r="E14" s="22" t="s">
        <v>5</v>
      </c>
      <c r="F14" s="22" t="s">
        <v>6</v>
      </c>
      <c r="G14" s="21" t="s">
        <v>7</v>
      </c>
      <c r="H14" s="23" t="s">
        <v>8</v>
      </c>
      <c r="I14" s="23" t="s">
        <v>9</v>
      </c>
      <c r="J14" s="21" t="s">
        <v>10</v>
      </c>
      <c r="K14" s="21" t="s">
        <v>11</v>
      </c>
      <c r="L14" s="21" t="s">
        <v>12</v>
      </c>
      <c r="M14" s="23" t="s">
        <v>13</v>
      </c>
      <c r="N14" s="8"/>
    </row>
    <row r="15" spans="2:14" ht="15" customHeight="1">
      <c r="B15" s="24">
        <v>2018</v>
      </c>
      <c r="C15" s="18" t="s">
        <v>37</v>
      </c>
      <c r="D15" s="24">
        <v>24</v>
      </c>
      <c r="E15" s="25">
        <v>0.45200000000000001</v>
      </c>
      <c r="F15" s="25">
        <v>0.85</v>
      </c>
      <c r="G15" s="24">
        <v>0</v>
      </c>
      <c r="H15" s="26">
        <v>3</v>
      </c>
      <c r="I15" s="26">
        <v>0.5</v>
      </c>
      <c r="J15" s="24">
        <v>5</v>
      </c>
      <c r="K15" s="24">
        <v>6</v>
      </c>
      <c r="L15" s="24">
        <v>55</v>
      </c>
      <c r="M15" s="26">
        <f>L15/D15</f>
        <v>2.2916666666666665</v>
      </c>
      <c r="N15" s="12"/>
    </row>
    <row r="16" spans="2:14" ht="15" customHeight="1">
      <c r="B16" s="27" t="s">
        <v>15</v>
      </c>
      <c r="C16" s="18" t="s">
        <v>23</v>
      </c>
      <c r="D16" s="24">
        <v>64</v>
      </c>
      <c r="E16" s="25">
        <v>0.53200000000000003</v>
      </c>
      <c r="F16" s="25">
        <v>0.86499999999999999</v>
      </c>
      <c r="G16" s="24">
        <v>1</v>
      </c>
      <c r="H16" s="26">
        <v>2.6</v>
      </c>
      <c r="I16" s="26">
        <v>0.4</v>
      </c>
      <c r="J16" s="24">
        <v>12</v>
      </c>
      <c r="K16" s="24">
        <v>25</v>
      </c>
      <c r="L16" s="24">
        <v>167</v>
      </c>
      <c r="M16" s="26">
        <f>L16/D16</f>
        <v>2.609375</v>
      </c>
      <c r="N16" s="12"/>
    </row>
    <row r="17" spans="2:14" ht="15" customHeight="1">
      <c r="B17" s="9"/>
      <c r="D17" s="10"/>
      <c r="E17" s="11"/>
      <c r="F17" s="11"/>
      <c r="G17" s="10"/>
      <c r="H17" s="12"/>
      <c r="I17" s="12"/>
      <c r="J17" s="10"/>
      <c r="K17" s="10"/>
      <c r="L17" s="10"/>
      <c r="M17" s="12"/>
      <c r="N17" s="12"/>
    </row>
    <row r="18" spans="2:14" ht="15" customHeight="1">
      <c r="B18" s="30" t="s">
        <v>254</v>
      </c>
    </row>
    <row r="19" spans="2:14" ht="15" customHeight="1">
      <c r="B19" s="19" t="s">
        <v>2</v>
      </c>
      <c r="C19" s="20" t="s">
        <v>3</v>
      </c>
      <c r="D19" s="21" t="s">
        <v>4</v>
      </c>
      <c r="E19" s="22" t="s">
        <v>5</v>
      </c>
      <c r="F19" s="22" t="s">
        <v>6</v>
      </c>
      <c r="G19" s="21" t="s">
        <v>7</v>
      </c>
      <c r="H19" s="23" t="s">
        <v>8</v>
      </c>
      <c r="I19" s="23" t="s">
        <v>9</v>
      </c>
      <c r="J19" s="21" t="s">
        <v>10</v>
      </c>
      <c r="K19" s="21" t="s">
        <v>11</v>
      </c>
      <c r="L19" s="21" t="s">
        <v>12</v>
      </c>
      <c r="M19" s="23" t="s">
        <v>13</v>
      </c>
      <c r="N19" s="8"/>
    </row>
    <row r="20" spans="2:14" ht="15" customHeight="1">
      <c r="B20" s="24">
        <v>2019</v>
      </c>
      <c r="C20" s="18" t="s">
        <v>37</v>
      </c>
      <c r="D20" s="24">
        <v>23</v>
      </c>
      <c r="E20" s="25">
        <v>0.35199999999999998</v>
      </c>
      <c r="F20" s="25">
        <v>0.78400000000000003</v>
      </c>
      <c r="G20" s="24">
        <v>14</v>
      </c>
      <c r="H20" s="26">
        <v>2.2000000000000002</v>
      </c>
      <c r="I20" s="26">
        <v>1.5</v>
      </c>
      <c r="J20" s="24">
        <v>12</v>
      </c>
      <c r="K20" s="24">
        <v>8</v>
      </c>
      <c r="L20" s="24">
        <v>133</v>
      </c>
      <c r="M20" s="26">
        <f>L20/D20</f>
        <v>5.7826086956521738</v>
      </c>
      <c r="N20" s="12"/>
    </row>
    <row r="21" spans="2:14" ht="15" customHeight="1">
      <c r="B21" s="27" t="s">
        <v>15</v>
      </c>
      <c r="C21" s="18" t="s">
        <v>162</v>
      </c>
      <c r="D21" s="24">
        <v>346</v>
      </c>
      <c r="E21" s="25">
        <v>0.40799999999999997</v>
      </c>
      <c r="F21" s="25">
        <v>0.79700000000000004</v>
      </c>
      <c r="G21" s="24">
        <v>211</v>
      </c>
      <c r="H21" s="26">
        <v>2.2999999999999998</v>
      </c>
      <c r="I21" s="26">
        <v>1.3</v>
      </c>
      <c r="J21" s="24">
        <v>276</v>
      </c>
      <c r="K21" s="24">
        <v>119</v>
      </c>
      <c r="L21" s="24">
        <v>2569</v>
      </c>
      <c r="M21" s="26">
        <f>L21/D21</f>
        <v>7.4248554913294802</v>
      </c>
      <c r="N21" s="12"/>
    </row>
    <row r="23" spans="2:14" ht="15" customHeight="1">
      <c r="B23" s="30" t="s">
        <v>255</v>
      </c>
    </row>
    <row r="24" spans="2:14" ht="15" customHeight="1">
      <c r="B24" s="19" t="s">
        <v>2</v>
      </c>
      <c r="C24" s="20" t="s">
        <v>3</v>
      </c>
      <c r="D24" s="21" t="s">
        <v>4</v>
      </c>
      <c r="E24" s="22" t="s">
        <v>5</v>
      </c>
      <c r="F24" s="22" t="s">
        <v>6</v>
      </c>
      <c r="G24" s="21" t="s">
        <v>7</v>
      </c>
      <c r="H24" s="23" t="s">
        <v>8</v>
      </c>
      <c r="I24" s="23" t="s">
        <v>9</v>
      </c>
      <c r="J24" s="21" t="s">
        <v>10</v>
      </c>
      <c r="K24" s="21" t="s">
        <v>11</v>
      </c>
      <c r="L24" s="21" t="s">
        <v>12</v>
      </c>
      <c r="M24" s="23" t="s">
        <v>13</v>
      </c>
      <c r="N24" s="8"/>
    </row>
    <row r="25" spans="2:14" ht="15" customHeight="1">
      <c r="B25" s="24">
        <v>2024</v>
      </c>
      <c r="C25" s="18" t="s">
        <v>37</v>
      </c>
      <c r="D25" s="24">
        <v>40</v>
      </c>
      <c r="E25" s="25">
        <v>0.42899999999999999</v>
      </c>
      <c r="F25" s="25">
        <v>0.87</v>
      </c>
      <c r="G25" s="24">
        <v>68</v>
      </c>
      <c r="H25" s="26">
        <v>3.9</v>
      </c>
      <c r="I25" s="26">
        <v>2</v>
      </c>
      <c r="J25" s="24">
        <v>41</v>
      </c>
      <c r="K25" s="24">
        <v>10</v>
      </c>
      <c r="L25" s="24">
        <v>334</v>
      </c>
      <c r="M25" s="26">
        <f>L25/D25</f>
        <v>8.35</v>
      </c>
      <c r="N25" s="12"/>
    </row>
    <row r="26" spans="2:14" ht="15" customHeight="1">
      <c r="B26" s="27" t="s">
        <v>15</v>
      </c>
      <c r="C26" s="18" t="s">
        <v>71</v>
      </c>
      <c r="D26" s="24">
        <v>182</v>
      </c>
      <c r="E26" s="25">
        <v>0.42199999999999999</v>
      </c>
      <c r="F26" s="25">
        <v>0.85899999999999999</v>
      </c>
      <c r="G26" s="24">
        <v>254</v>
      </c>
      <c r="H26" s="26">
        <v>2.7</v>
      </c>
      <c r="I26" s="26">
        <v>1.4</v>
      </c>
      <c r="J26" s="24">
        <v>125</v>
      </c>
      <c r="K26" s="24">
        <v>45</v>
      </c>
      <c r="L26" s="24">
        <v>1409</v>
      </c>
      <c r="M26" s="26">
        <f>L26/D26</f>
        <v>7.7417582417582418</v>
      </c>
      <c r="N26" s="12"/>
    </row>
    <row r="28" spans="2:14" ht="15" customHeight="1">
      <c r="B28" s="30" t="s">
        <v>256</v>
      </c>
    </row>
    <row r="29" spans="2:14" ht="15" customHeight="1">
      <c r="B29" s="19" t="s">
        <v>2</v>
      </c>
      <c r="C29" s="20" t="s">
        <v>3</v>
      </c>
      <c r="D29" s="21" t="s">
        <v>4</v>
      </c>
      <c r="E29" s="22" t="s">
        <v>5</v>
      </c>
      <c r="F29" s="22" t="s">
        <v>6</v>
      </c>
      <c r="G29" s="21" t="s">
        <v>7</v>
      </c>
      <c r="H29" s="23" t="s">
        <v>8</v>
      </c>
      <c r="I29" s="23" t="s">
        <v>9</v>
      </c>
      <c r="J29" s="21" t="s">
        <v>10</v>
      </c>
      <c r="K29" s="21" t="s">
        <v>11</v>
      </c>
      <c r="L29" s="21" t="s">
        <v>12</v>
      </c>
      <c r="M29" s="23" t="s">
        <v>13</v>
      </c>
      <c r="N29" s="8"/>
    </row>
    <row r="30" spans="2:14" ht="15" customHeight="1">
      <c r="B30" s="24">
        <v>2021</v>
      </c>
      <c r="C30" s="18" t="s">
        <v>126</v>
      </c>
      <c r="D30" s="24">
        <v>18</v>
      </c>
      <c r="E30" s="25">
        <v>0.46700000000000003</v>
      </c>
      <c r="F30" s="25">
        <v>0.75</v>
      </c>
      <c r="G30" s="24">
        <v>5</v>
      </c>
      <c r="H30" s="26">
        <v>1.2</v>
      </c>
      <c r="I30" s="26">
        <v>0.4</v>
      </c>
      <c r="J30" s="24">
        <v>5</v>
      </c>
      <c r="K30" s="24">
        <v>5</v>
      </c>
      <c r="L30" s="24">
        <v>56</v>
      </c>
      <c r="M30" s="26">
        <f>L30/D30</f>
        <v>3.1111111111111112</v>
      </c>
      <c r="N30" s="12"/>
    </row>
    <row r="31" spans="2:14" ht="15" customHeight="1">
      <c r="B31" s="27" t="s">
        <v>15</v>
      </c>
      <c r="C31" s="18" t="s">
        <v>38</v>
      </c>
      <c r="D31" s="24">
        <v>40</v>
      </c>
      <c r="E31" s="25">
        <v>0.48299999999999998</v>
      </c>
      <c r="F31" s="25">
        <v>0.82899999999999996</v>
      </c>
      <c r="G31" s="24">
        <v>10</v>
      </c>
      <c r="H31" s="26">
        <v>1.8</v>
      </c>
      <c r="I31" s="26">
        <v>0.6</v>
      </c>
      <c r="J31" s="24">
        <v>20</v>
      </c>
      <c r="K31" s="24">
        <v>13</v>
      </c>
      <c r="L31" s="24">
        <v>177</v>
      </c>
      <c r="M31" s="26">
        <f>L31/D31</f>
        <v>4.4249999999999998</v>
      </c>
      <c r="N31" s="12"/>
    </row>
    <row r="32" spans="2:14" s="28" customFormat="1" ht="15" customHeight="1">
      <c r="B32" s="9"/>
      <c r="C32" s="1"/>
      <c r="D32" s="10"/>
      <c r="E32" s="11"/>
      <c r="F32" s="11"/>
      <c r="G32" s="10"/>
      <c r="H32" s="12"/>
      <c r="I32" s="12"/>
      <c r="J32" s="10"/>
      <c r="K32" s="10"/>
      <c r="L32" s="10"/>
      <c r="M32" s="12"/>
      <c r="N32" s="12"/>
    </row>
    <row r="33" spans="2:14" ht="15" customHeight="1">
      <c r="B33" s="30" t="s">
        <v>257</v>
      </c>
    </row>
    <row r="34" spans="2:14" ht="15" customHeight="1">
      <c r="B34" s="19" t="s">
        <v>2</v>
      </c>
      <c r="C34" s="20" t="s">
        <v>3</v>
      </c>
      <c r="D34" s="21" t="s">
        <v>4</v>
      </c>
      <c r="E34" s="22" t="s">
        <v>5</v>
      </c>
      <c r="F34" s="22" t="s">
        <v>6</v>
      </c>
      <c r="G34" s="21" t="s">
        <v>7</v>
      </c>
      <c r="H34" s="23" t="s">
        <v>8</v>
      </c>
      <c r="I34" s="23" t="s">
        <v>9</v>
      </c>
      <c r="J34" s="21" t="s">
        <v>10</v>
      </c>
      <c r="K34" s="21" t="s">
        <v>11</v>
      </c>
      <c r="L34" s="21" t="s">
        <v>12</v>
      </c>
      <c r="M34" s="23" t="s">
        <v>13</v>
      </c>
      <c r="N34" s="8"/>
    </row>
    <row r="35" spans="2:14" ht="15" customHeight="1">
      <c r="B35" s="24">
        <v>2023</v>
      </c>
      <c r="C35" s="18" t="s">
        <v>37</v>
      </c>
      <c r="D35" s="24">
        <v>18</v>
      </c>
      <c r="E35" s="25">
        <v>0.36899999999999999</v>
      </c>
      <c r="F35" s="25">
        <v>0.8</v>
      </c>
      <c r="G35" s="24">
        <v>16</v>
      </c>
      <c r="H35" s="26">
        <v>1.8</v>
      </c>
      <c r="I35" s="26">
        <v>1.8</v>
      </c>
      <c r="J35" s="24">
        <v>15</v>
      </c>
      <c r="K35" s="24">
        <v>1</v>
      </c>
      <c r="L35" s="24">
        <v>94</v>
      </c>
      <c r="M35" s="26">
        <f>L35/D35</f>
        <v>5.2222222222222223</v>
      </c>
      <c r="N35" s="12"/>
    </row>
    <row r="36" spans="2:14" ht="15" customHeight="1">
      <c r="B36" s="27" t="s">
        <v>15</v>
      </c>
      <c r="C36" s="18" t="s">
        <v>33</v>
      </c>
      <c r="D36" s="24">
        <v>116</v>
      </c>
      <c r="E36" s="25">
        <v>0.40100000000000002</v>
      </c>
      <c r="F36" s="25">
        <v>0.90400000000000003</v>
      </c>
      <c r="G36" s="24">
        <v>99</v>
      </c>
      <c r="H36" s="26">
        <v>2.4</v>
      </c>
      <c r="I36" s="26">
        <v>2.2999999999999998</v>
      </c>
      <c r="J36" s="24">
        <v>121</v>
      </c>
      <c r="K36" s="24">
        <v>12</v>
      </c>
      <c r="L36" s="24">
        <v>694</v>
      </c>
      <c r="M36" s="26">
        <f>L36/D36</f>
        <v>5.9827586206896548</v>
      </c>
      <c r="N36" s="12"/>
    </row>
    <row r="38" spans="2:14" ht="15" customHeight="1">
      <c r="B38" s="30" t="s">
        <v>258</v>
      </c>
    </row>
    <row r="39" spans="2:14" ht="15" customHeight="1">
      <c r="B39" s="19" t="s">
        <v>2</v>
      </c>
      <c r="C39" s="20" t="s">
        <v>3</v>
      </c>
      <c r="D39" s="21" t="s">
        <v>4</v>
      </c>
      <c r="E39" s="22" t="s">
        <v>5</v>
      </c>
      <c r="F39" s="22" t="s">
        <v>6</v>
      </c>
      <c r="G39" s="21" t="s">
        <v>7</v>
      </c>
      <c r="H39" s="23" t="s">
        <v>8</v>
      </c>
      <c r="I39" s="23" t="s">
        <v>9</v>
      </c>
      <c r="J39" s="21" t="s">
        <v>10</v>
      </c>
      <c r="K39" s="21" t="s">
        <v>11</v>
      </c>
      <c r="L39" s="21" t="s">
        <v>12</v>
      </c>
      <c r="M39" s="23" t="s">
        <v>13</v>
      </c>
      <c r="N39" s="8"/>
    </row>
    <row r="40" spans="2:14" ht="15" customHeight="1">
      <c r="B40" s="24">
        <v>2021</v>
      </c>
      <c r="C40" s="18" t="s">
        <v>259</v>
      </c>
      <c r="D40" s="24">
        <v>10</v>
      </c>
      <c r="E40" s="25">
        <v>0.41399999999999998</v>
      </c>
      <c r="F40" s="25">
        <v>0.55600000000000005</v>
      </c>
      <c r="G40" s="24">
        <v>0</v>
      </c>
      <c r="H40" s="26">
        <v>3.3</v>
      </c>
      <c r="I40" s="26">
        <v>0.5</v>
      </c>
      <c r="J40" s="24">
        <v>5</v>
      </c>
      <c r="K40" s="24">
        <v>1</v>
      </c>
      <c r="L40" s="24">
        <v>34</v>
      </c>
      <c r="M40" s="26">
        <f>L40/D40</f>
        <v>3.4</v>
      </c>
      <c r="N40" s="12"/>
    </row>
    <row r="41" spans="2:14" ht="15" customHeight="1">
      <c r="B41" s="27" t="s">
        <v>15</v>
      </c>
      <c r="C41" s="18" t="s">
        <v>23</v>
      </c>
      <c r="D41" s="24">
        <v>54</v>
      </c>
      <c r="E41" s="25">
        <v>0.44</v>
      </c>
      <c r="F41" s="25">
        <v>0.60499999999999998</v>
      </c>
      <c r="G41" s="24">
        <v>0</v>
      </c>
      <c r="H41" s="26">
        <v>2.7</v>
      </c>
      <c r="I41" s="26">
        <v>0.3</v>
      </c>
      <c r="J41" s="24">
        <v>25</v>
      </c>
      <c r="K41" s="24">
        <v>16</v>
      </c>
      <c r="L41" s="24">
        <v>178</v>
      </c>
      <c r="M41" s="26">
        <f>L41/D41</f>
        <v>3.2962962962962963</v>
      </c>
      <c r="N41" s="12"/>
    </row>
    <row r="43" spans="2:14" ht="15" customHeight="1">
      <c r="B43" s="30" t="s">
        <v>260</v>
      </c>
    </row>
    <row r="44" spans="2:14" ht="15" customHeight="1">
      <c r="B44" s="19" t="s">
        <v>2</v>
      </c>
      <c r="C44" s="20" t="s">
        <v>3</v>
      </c>
      <c r="D44" s="21" t="s">
        <v>4</v>
      </c>
      <c r="E44" s="22" t="s">
        <v>5</v>
      </c>
      <c r="F44" s="22" t="s">
        <v>6</v>
      </c>
      <c r="G44" s="21" t="s">
        <v>7</v>
      </c>
      <c r="H44" s="23" t="s">
        <v>8</v>
      </c>
      <c r="I44" s="23" t="s">
        <v>9</v>
      </c>
      <c r="J44" s="21" t="s">
        <v>10</v>
      </c>
      <c r="K44" s="21" t="s">
        <v>11</v>
      </c>
      <c r="L44" s="21" t="s">
        <v>12</v>
      </c>
      <c r="M44" s="23" t="s">
        <v>13</v>
      </c>
      <c r="N44" s="8"/>
    </row>
    <row r="45" spans="2:14" ht="15" customHeight="1">
      <c r="B45" s="24">
        <v>2024</v>
      </c>
      <c r="C45" s="18" t="s">
        <v>130</v>
      </c>
      <c r="D45" s="24">
        <v>38</v>
      </c>
      <c r="E45" s="25">
        <v>0.5</v>
      </c>
      <c r="F45" s="25">
        <v>0.76500000000000001</v>
      </c>
      <c r="G45" s="24">
        <v>22</v>
      </c>
      <c r="H45" s="26">
        <v>1.9</v>
      </c>
      <c r="I45" s="26">
        <v>0.2</v>
      </c>
      <c r="J45" s="24">
        <v>13</v>
      </c>
      <c r="K45" s="24">
        <v>5</v>
      </c>
      <c r="L45" s="24">
        <v>141</v>
      </c>
      <c r="M45" s="26">
        <f>L45/D45</f>
        <v>3.7105263157894739</v>
      </c>
      <c r="N45" s="12"/>
    </row>
    <row r="46" spans="2:14" ht="15" customHeight="1">
      <c r="B46" s="27" t="s">
        <v>15</v>
      </c>
      <c r="C46" s="18" t="s">
        <v>71</v>
      </c>
      <c r="D46" s="24">
        <v>151</v>
      </c>
      <c r="E46" s="25">
        <v>0.51800000000000002</v>
      </c>
      <c r="F46" s="25">
        <v>0.79100000000000004</v>
      </c>
      <c r="G46" s="24">
        <v>50</v>
      </c>
      <c r="H46" s="26">
        <v>2.5</v>
      </c>
      <c r="I46" s="26">
        <v>0.4</v>
      </c>
      <c r="J46" s="24">
        <v>38</v>
      </c>
      <c r="K46" s="24">
        <v>32</v>
      </c>
      <c r="L46" s="24">
        <v>666</v>
      </c>
      <c r="M46" s="26">
        <f>L46/D46</f>
        <v>4.4105960264900661</v>
      </c>
      <c r="N46" s="12"/>
    </row>
    <row r="47" spans="2:14" s="28" customFormat="1" ht="15" customHeight="1">
      <c r="B47" s="9"/>
      <c r="C47" s="1"/>
      <c r="D47" s="10"/>
      <c r="E47" s="11"/>
      <c r="F47" s="11"/>
      <c r="G47" s="10"/>
      <c r="H47" s="12"/>
      <c r="I47" s="12"/>
      <c r="J47" s="10"/>
      <c r="K47" s="10"/>
      <c r="L47" s="10"/>
      <c r="M47" s="12"/>
      <c r="N47" s="12"/>
    </row>
    <row r="48" spans="2:14" ht="15" customHeight="1">
      <c r="B48" s="30" t="s">
        <v>261</v>
      </c>
    </row>
    <row r="49" spans="2:14" ht="15" customHeight="1">
      <c r="B49" s="19" t="s">
        <v>2</v>
      </c>
      <c r="C49" s="20" t="s">
        <v>3</v>
      </c>
      <c r="D49" s="21" t="s">
        <v>4</v>
      </c>
      <c r="E49" s="22" t="s">
        <v>5</v>
      </c>
      <c r="F49" s="22" t="s">
        <v>6</v>
      </c>
      <c r="G49" s="21" t="s">
        <v>7</v>
      </c>
      <c r="H49" s="23" t="s">
        <v>8</v>
      </c>
      <c r="I49" s="23" t="s">
        <v>9</v>
      </c>
      <c r="J49" s="21" t="s">
        <v>10</v>
      </c>
      <c r="K49" s="21" t="s">
        <v>11</v>
      </c>
      <c r="L49" s="21" t="s">
        <v>12</v>
      </c>
      <c r="M49" s="23" t="s">
        <v>13</v>
      </c>
      <c r="N49" s="8"/>
    </row>
    <row r="50" spans="2:14" ht="15" customHeight="1">
      <c r="B50" s="24">
        <v>2022</v>
      </c>
      <c r="C50" s="18" t="s">
        <v>126</v>
      </c>
      <c r="D50" s="24">
        <v>34</v>
      </c>
      <c r="E50" s="25">
        <v>0.377</v>
      </c>
      <c r="F50" s="25">
        <v>0.83599999999999997</v>
      </c>
      <c r="G50" s="24">
        <v>15</v>
      </c>
      <c r="H50" s="26">
        <v>2.1</v>
      </c>
      <c r="I50" s="26">
        <v>0.4</v>
      </c>
      <c r="J50" s="24">
        <v>14</v>
      </c>
      <c r="K50" s="24">
        <v>8</v>
      </c>
      <c r="L50" s="24">
        <v>159</v>
      </c>
      <c r="M50" s="26">
        <f>L50/D50</f>
        <v>4.6764705882352944</v>
      </c>
      <c r="N50" s="12"/>
    </row>
    <row r="51" spans="2:14" ht="15" customHeight="1">
      <c r="B51" s="27" t="s">
        <v>15</v>
      </c>
      <c r="C51" s="18" t="s">
        <v>38</v>
      </c>
      <c r="D51" s="24">
        <v>66</v>
      </c>
      <c r="E51" s="25">
        <v>0.39200000000000002</v>
      </c>
      <c r="F51" s="25">
        <v>0.83599999999999997</v>
      </c>
      <c r="G51" s="24">
        <v>52</v>
      </c>
      <c r="H51" s="26">
        <v>2.5</v>
      </c>
      <c r="I51" s="26">
        <v>0.5</v>
      </c>
      <c r="J51" s="24">
        <v>28</v>
      </c>
      <c r="K51" s="24">
        <v>17</v>
      </c>
      <c r="L51" s="24">
        <v>434</v>
      </c>
      <c r="M51" s="26">
        <f>L51/D51</f>
        <v>6.5757575757575761</v>
      </c>
      <c r="N51" s="12"/>
    </row>
    <row r="52" spans="2:14" s="28" customFormat="1" ht="15" customHeight="1">
      <c r="B52" s="9"/>
      <c r="C52" s="1"/>
      <c r="D52" s="10"/>
      <c r="E52" s="11"/>
      <c r="F52" s="11"/>
      <c r="G52" s="10"/>
      <c r="H52" s="12"/>
      <c r="I52" s="12"/>
      <c r="J52" s="10"/>
      <c r="K52" s="10"/>
      <c r="L52" s="10"/>
      <c r="M52" s="12"/>
      <c r="N52" s="12"/>
    </row>
    <row r="53" spans="2:14" ht="15" customHeight="1">
      <c r="B53" s="30" t="s">
        <v>262</v>
      </c>
      <c r="N53" s="8"/>
    </row>
    <row r="54" spans="2:14" ht="15" customHeight="1">
      <c r="B54" s="19" t="s">
        <v>2</v>
      </c>
      <c r="C54" s="20" t="s">
        <v>3</v>
      </c>
      <c r="D54" s="21" t="s">
        <v>4</v>
      </c>
      <c r="E54" s="22" t="s">
        <v>5</v>
      </c>
      <c r="F54" s="22" t="s">
        <v>6</v>
      </c>
      <c r="G54" s="21" t="s">
        <v>7</v>
      </c>
      <c r="H54" s="23" t="s">
        <v>8</v>
      </c>
      <c r="I54" s="23" t="s">
        <v>9</v>
      </c>
      <c r="J54" s="21" t="s">
        <v>10</v>
      </c>
      <c r="K54" s="21" t="s">
        <v>11</v>
      </c>
      <c r="L54" s="21" t="s">
        <v>12</v>
      </c>
      <c r="M54" s="23" t="s">
        <v>13</v>
      </c>
      <c r="N54" s="12"/>
    </row>
    <row r="55" spans="2:14" ht="15" customHeight="1">
      <c r="B55" s="24">
        <v>2022</v>
      </c>
      <c r="C55" s="18" t="s">
        <v>263</v>
      </c>
      <c r="D55" s="24">
        <v>20</v>
      </c>
      <c r="E55" s="25">
        <v>0.377</v>
      </c>
      <c r="F55" s="25">
        <v>0.73299999999999998</v>
      </c>
      <c r="G55" s="24">
        <v>5</v>
      </c>
      <c r="H55" s="26">
        <v>1</v>
      </c>
      <c r="I55" s="26">
        <v>1.2</v>
      </c>
      <c r="J55" s="24">
        <v>8</v>
      </c>
      <c r="K55" s="24">
        <v>7</v>
      </c>
      <c r="L55" s="24">
        <v>56</v>
      </c>
      <c r="M55" s="26">
        <f>L55/D55</f>
        <v>2.8</v>
      </c>
      <c r="N55" s="12"/>
    </row>
    <row r="56" spans="2:14" ht="15" customHeight="1">
      <c r="B56" s="27" t="s">
        <v>15</v>
      </c>
      <c r="C56" s="18" t="s">
        <v>40</v>
      </c>
      <c r="D56" s="24">
        <v>20</v>
      </c>
      <c r="E56" s="25">
        <v>0.377</v>
      </c>
      <c r="F56" s="25">
        <v>0.73299999999999998</v>
      </c>
      <c r="G56" s="24">
        <v>5</v>
      </c>
      <c r="H56" s="26">
        <v>1</v>
      </c>
      <c r="I56" s="26">
        <v>1.2</v>
      </c>
      <c r="J56" s="24">
        <v>8</v>
      </c>
      <c r="K56" s="24">
        <v>7</v>
      </c>
      <c r="L56" s="24">
        <v>56</v>
      </c>
      <c r="M56" s="26">
        <f>L56/D56</f>
        <v>2.8</v>
      </c>
      <c r="N56" s="17"/>
    </row>
    <row r="57" spans="2:14" ht="15" customHeight="1">
      <c r="B57" s="15"/>
      <c r="C57" s="5"/>
      <c r="D57" s="5"/>
      <c r="E57" s="16"/>
      <c r="F57" s="16"/>
      <c r="G57" s="5"/>
      <c r="H57" s="17"/>
      <c r="I57" s="17"/>
      <c r="J57" s="5"/>
      <c r="K57" s="5"/>
      <c r="L57" s="17"/>
      <c r="M57" s="17"/>
    </row>
    <row r="58" spans="2:14" ht="15" customHeight="1">
      <c r="B58" s="30" t="s">
        <v>264</v>
      </c>
    </row>
    <row r="59" spans="2:14" ht="15" customHeight="1">
      <c r="B59" s="19" t="s">
        <v>2</v>
      </c>
      <c r="C59" s="20" t="s">
        <v>3</v>
      </c>
      <c r="D59" s="21" t="s">
        <v>4</v>
      </c>
      <c r="E59" s="22" t="s">
        <v>5</v>
      </c>
      <c r="F59" s="22" t="s">
        <v>6</v>
      </c>
      <c r="G59" s="21" t="s">
        <v>7</v>
      </c>
      <c r="H59" s="23" t="s">
        <v>8</v>
      </c>
      <c r="I59" s="23" t="s">
        <v>9</v>
      </c>
      <c r="J59" s="21" t="s">
        <v>10</v>
      </c>
      <c r="K59" s="21" t="s">
        <v>11</v>
      </c>
      <c r="L59" s="21" t="s">
        <v>12</v>
      </c>
      <c r="M59" s="23" t="s">
        <v>13</v>
      </c>
      <c r="N59" s="8"/>
    </row>
    <row r="60" spans="2:14" ht="15" customHeight="1">
      <c r="B60" s="24">
        <v>2024</v>
      </c>
      <c r="C60" s="18" t="s">
        <v>37</v>
      </c>
      <c r="D60" s="24">
        <v>38</v>
      </c>
      <c r="E60" s="25">
        <v>0.39700000000000002</v>
      </c>
      <c r="F60" s="25">
        <v>0.82599999999999996</v>
      </c>
      <c r="G60" s="24">
        <v>44</v>
      </c>
      <c r="H60" s="26">
        <v>4.0999999999999996</v>
      </c>
      <c r="I60" s="26">
        <v>6.9</v>
      </c>
      <c r="J60" s="24">
        <v>54</v>
      </c>
      <c r="K60" s="24">
        <v>23</v>
      </c>
      <c r="L60" s="24">
        <v>438</v>
      </c>
      <c r="M60" s="26">
        <f>L60/D60</f>
        <v>11.526315789473685</v>
      </c>
      <c r="N60" s="12"/>
    </row>
    <row r="61" spans="2:14" ht="15" customHeight="1">
      <c r="B61" s="27" t="s">
        <v>15</v>
      </c>
      <c r="C61" s="18" t="s">
        <v>50</v>
      </c>
      <c r="D61" s="24">
        <v>286</v>
      </c>
      <c r="E61" s="25">
        <v>0.38400000000000001</v>
      </c>
      <c r="F61" s="25">
        <v>0.80600000000000005</v>
      </c>
      <c r="G61" s="24">
        <v>279</v>
      </c>
      <c r="H61" s="26">
        <v>3.3</v>
      </c>
      <c r="I61" s="26">
        <v>5.3</v>
      </c>
      <c r="J61" s="24">
        <v>290</v>
      </c>
      <c r="K61" s="24">
        <v>67</v>
      </c>
      <c r="L61" s="24">
        <v>2449</v>
      </c>
      <c r="M61" s="26">
        <f>L61/D61</f>
        <v>8.5629370629370634</v>
      </c>
      <c r="N61" s="12"/>
    </row>
    <row r="63" spans="2:14" ht="15" customHeight="1">
      <c r="B63" s="30" t="s">
        <v>265</v>
      </c>
      <c r="N63" s="8"/>
    </row>
    <row r="64" spans="2:14" ht="15" customHeight="1">
      <c r="B64" s="19" t="s">
        <v>2</v>
      </c>
      <c r="C64" s="20" t="s">
        <v>3</v>
      </c>
      <c r="D64" s="21" t="s">
        <v>4</v>
      </c>
      <c r="E64" s="22" t="s">
        <v>5</v>
      </c>
      <c r="F64" s="22" t="s">
        <v>6</v>
      </c>
      <c r="G64" s="21" t="s">
        <v>7</v>
      </c>
      <c r="H64" s="23" t="s">
        <v>8</v>
      </c>
      <c r="I64" s="23" t="s">
        <v>9</v>
      </c>
      <c r="J64" s="21" t="s">
        <v>10</v>
      </c>
      <c r="K64" s="21" t="s">
        <v>11</v>
      </c>
      <c r="L64" s="21" t="s">
        <v>12</v>
      </c>
      <c r="M64" s="23" t="s">
        <v>13</v>
      </c>
      <c r="N64" s="12"/>
    </row>
    <row r="65" spans="2:14" ht="15" customHeight="1">
      <c r="B65" s="24">
        <v>2024</v>
      </c>
      <c r="C65" s="18" t="s">
        <v>266</v>
      </c>
      <c r="D65" s="24">
        <v>22</v>
      </c>
      <c r="E65" s="25">
        <v>0.33900000000000002</v>
      </c>
      <c r="F65" s="25">
        <v>0.55600000000000005</v>
      </c>
      <c r="G65" s="24">
        <v>6</v>
      </c>
      <c r="H65" s="26">
        <v>1.3</v>
      </c>
      <c r="I65" s="26">
        <v>1.3</v>
      </c>
      <c r="J65" s="24">
        <v>15</v>
      </c>
      <c r="K65" s="24">
        <v>10</v>
      </c>
      <c r="L65" s="24">
        <v>58</v>
      </c>
      <c r="M65" s="26">
        <f>L65/D65</f>
        <v>2.6363636363636362</v>
      </c>
      <c r="N65" s="12"/>
    </row>
    <row r="66" spans="2:14" ht="15" customHeight="1">
      <c r="B66" s="27" t="s">
        <v>15</v>
      </c>
      <c r="C66" s="18" t="s">
        <v>40</v>
      </c>
      <c r="D66" s="24">
        <v>22</v>
      </c>
      <c r="E66" s="25">
        <v>0.33900000000000002</v>
      </c>
      <c r="F66" s="25">
        <v>0.55600000000000005</v>
      </c>
      <c r="G66" s="24">
        <v>6</v>
      </c>
      <c r="H66" s="26">
        <v>1.3</v>
      </c>
      <c r="I66" s="26">
        <v>1.3</v>
      </c>
      <c r="J66" s="24">
        <v>15</v>
      </c>
      <c r="K66" s="24">
        <v>10</v>
      </c>
      <c r="L66" s="24">
        <v>58</v>
      </c>
      <c r="M66" s="26">
        <f>L66/D66</f>
        <v>2.6363636363636362</v>
      </c>
      <c r="N66" s="17"/>
    </row>
    <row r="67" spans="2:14" ht="15" customHeight="1">
      <c r="B67" s="15"/>
      <c r="C67" s="5"/>
      <c r="D67" s="5"/>
      <c r="E67" s="16"/>
      <c r="F67" s="16"/>
      <c r="G67" s="5"/>
      <c r="H67" s="17"/>
      <c r="I67" s="17"/>
      <c r="J67" s="5"/>
      <c r="K67" s="5"/>
      <c r="L67" s="17"/>
      <c r="M67" s="17"/>
    </row>
    <row r="68" spans="2:14" ht="15" customHeight="1">
      <c r="B68" s="30" t="s">
        <v>267</v>
      </c>
    </row>
    <row r="69" spans="2:14" ht="15" customHeight="1">
      <c r="B69" s="19" t="s">
        <v>2</v>
      </c>
      <c r="C69" s="20" t="s">
        <v>3</v>
      </c>
      <c r="D69" s="21" t="s">
        <v>4</v>
      </c>
      <c r="E69" s="22" t="s">
        <v>5</v>
      </c>
      <c r="F69" s="22" t="s">
        <v>6</v>
      </c>
      <c r="G69" s="21" t="s">
        <v>7</v>
      </c>
      <c r="H69" s="23" t="s">
        <v>8</v>
      </c>
      <c r="I69" s="23" t="s">
        <v>9</v>
      </c>
      <c r="J69" s="21" t="s">
        <v>10</v>
      </c>
      <c r="K69" s="21" t="s">
        <v>11</v>
      </c>
      <c r="L69" s="21" t="s">
        <v>12</v>
      </c>
      <c r="M69" s="23" t="s">
        <v>13</v>
      </c>
    </row>
    <row r="70" spans="2:14" ht="15" customHeight="1">
      <c r="B70" s="24">
        <v>2024</v>
      </c>
      <c r="C70" s="18" t="s">
        <v>37</v>
      </c>
      <c r="D70" s="24">
        <v>37</v>
      </c>
      <c r="E70" s="25">
        <v>0.435</v>
      </c>
      <c r="F70" s="25">
        <v>0.80700000000000005</v>
      </c>
      <c r="G70" s="24">
        <v>69</v>
      </c>
      <c r="H70" s="26">
        <v>4.5</v>
      </c>
      <c r="I70" s="26">
        <v>2.2999999999999998</v>
      </c>
      <c r="J70" s="24">
        <v>29</v>
      </c>
      <c r="K70" s="24">
        <v>3</v>
      </c>
      <c r="L70" s="24">
        <v>782</v>
      </c>
      <c r="M70" s="26">
        <f>L70/D70</f>
        <v>21.135135135135137</v>
      </c>
    </row>
    <row r="71" spans="2:14" ht="15" customHeight="1">
      <c r="B71" s="27" t="s">
        <v>15</v>
      </c>
      <c r="C71" s="18" t="s">
        <v>50</v>
      </c>
      <c r="D71" s="24">
        <v>291</v>
      </c>
      <c r="E71" s="25">
        <v>0.44700000000000001</v>
      </c>
      <c r="F71" s="25">
        <v>0.78700000000000003</v>
      </c>
      <c r="G71" s="24">
        <v>284</v>
      </c>
      <c r="H71" s="26">
        <v>3.6</v>
      </c>
      <c r="I71" s="26">
        <v>1.4</v>
      </c>
      <c r="J71" s="24">
        <v>176</v>
      </c>
      <c r="K71" s="24">
        <v>40</v>
      </c>
      <c r="L71" s="24">
        <v>3646</v>
      </c>
      <c r="M71" s="26">
        <f>L71/D71</f>
        <v>12.529209621993127</v>
      </c>
    </row>
    <row r="73" spans="2:14" ht="15" customHeight="1">
      <c r="B73" s="30" t="s">
        <v>268</v>
      </c>
      <c r="N73" s="8"/>
    </row>
    <row r="74" spans="2:14" ht="15" customHeight="1">
      <c r="B74" s="19" t="s">
        <v>2</v>
      </c>
      <c r="C74" s="20" t="s">
        <v>3</v>
      </c>
      <c r="D74" s="21" t="s">
        <v>4</v>
      </c>
      <c r="E74" s="22" t="s">
        <v>5</v>
      </c>
      <c r="F74" s="22" t="s">
        <v>6</v>
      </c>
      <c r="G74" s="21" t="s">
        <v>7</v>
      </c>
      <c r="H74" s="23" t="s">
        <v>8</v>
      </c>
      <c r="I74" s="23" t="s">
        <v>9</v>
      </c>
      <c r="J74" s="21" t="s">
        <v>10</v>
      </c>
      <c r="K74" s="21" t="s">
        <v>11</v>
      </c>
      <c r="L74" s="21" t="s">
        <v>12</v>
      </c>
      <c r="M74" s="23" t="s">
        <v>13</v>
      </c>
      <c r="N74" s="12"/>
    </row>
    <row r="75" spans="2:14" ht="15" customHeight="1">
      <c r="B75" s="24">
        <v>2024</v>
      </c>
      <c r="C75" s="18" t="s">
        <v>37</v>
      </c>
      <c r="D75" s="24">
        <v>2</v>
      </c>
      <c r="E75" s="25">
        <v>0.5</v>
      </c>
      <c r="F75" s="25">
        <v>0</v>
      </c>
      <c r="G75" s="24">
        <v>0</v>
      </c>
      <c r="H75" s="26">
        <v>0.5</v>
      </c>
      <c r="I75" s="26">
        <v>0.5</v>
      </c>
      <c r="J75" s="24">
        <v>0</v>
      </c>
      <c r="K75" s="24">
        <v>0</v>
      </c>
      <c r="L75" s="24">
        <v>2</v>
      </c>
      <c r="M75" s="26">
        <f>L75/D75</f>
        <v>1</v>
      </c>
      <c r="N75" s="12"/>
    </row>
    <row r="76" spans="2:14" ht="15" customHeight="1">
      <c r="B76" s="27" t="s">
        <v>15</v>
      </c>
      <c r="C76" s="18" t="s">
        <v>40</v>
      </c>
      <c r="D76" s="24">
        <v>2</v>
      </c>
      <c r="E76" s="25">
        <v>0.5</v>
      </c>
      <c r="F76" s="25">
        <v>0</v>
      </c>
      <c r="G76" s="24">
        <v>0</v>
      </c>
      <c r="H76" s="26">
        <v>0.5</v>
      </c>
      <c r="I76" s="26">
        <v>0.5</v>
      </c>
      <c r="J76" s="24">
        <v>0</v>
      </c>
      <c r="K76" s="24">
        <v>0</v>
      </c>
      <c r="L76" s="24">
        <v>2</v>
      </c>
      <c r="M76" s="26">
        <f>L76/D76</f>
        <v>1</v>
      </c>
      <c r="N76" s="17"/>
    </row>
    <row r="77" spans="2:14" ht="15" customHeight="1">
      <c r="B77" s="15"/>
      <c r="C77" s="5"/>
      <c r="D77" s="5"/>
      <c r="E77" s="16"/>
      <c r="F77" s="16"/>
      <c r="G77" s="5"/>
      <c r="H77" s="17"/>
      <c r="I77" s="17"/>
      <c r="J77" s="5"/>
      <c r="K77" s="5"/>
      <c r="L77" s="17"/>
      <c r="M77" s="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N101"/>
  <sheetViews>
    <sheetView topLeftCell="A85" zoomScale="120" zoomScaleNormal="120" workbookViewId="0">
      <selection activeCell="B93" sqref="B93"/>
    </sheetView>
  </sheetViews>
  <sheetFormatPr defaultColWidth="45" defaultRowHeight="15" customHeight="1"/>
  <cols>
    <col min="1" max="1" width="2.7109375" style="1" customWidth="1"/>
    <col min="2" max="2" width="17.7109375" style="13" bestFit="1" customWidth="1"/>
    <col min="3" max="3" width="19.140625" style="1" bestFit="1" customWidth="1"/>
    <col min="4" max="4" width="4.28515625" style="1" customWidth="1"/>
    <col min="5" max="5" width="7.42578125" style="2" bestFit="1" customWidth="1"/>
    <col min="6" max="6" width="5.7109375" style="2" bestFit="1" customWidth="1"/>
    <col min="7" max="7" width="4.42578125" style="1" bestFit="1" customWidth="1"/>
    <col min="8" max="8" width="4.140625" style="3" bestFit="1" customWidth="1"/>
    <col min="9" max="9" width="4.28515625" style="3" bestFit="1" customWidth="1"/>
    <col min="10" max="10" width="5.140625" style="1" customWidth="1"/>
    <col min="11" max="11" width="4.42578125" style="1" bestFit="1" customWidth="1"/>
    <col min="12" max="12" width="5.28515625" style="1" bestFit="1" customWidth="1"/>
    <col min="13" max="13" width="4.42578125" style="3" bestFit="1" customWidth="1"/>
    <col min="14" max="14" width="4.42578125" style="3" customWidth="1"/>
    <col min="15" max="16384" width="45" style="1"/>
  </cols>
  <sheetData>
    <row r="1" spans="2:14" ht="15" customHeight="1">
      <c r="B1" s="33" t="s">
        <v>269</v>
      </c>
    </row>
    <row r="3" spans="2:14" ht="15" customHeight="1">
      <c r="B3" s="31" t="s">
        <v>270</v>
      </c>
    </row>
    <row r="4" spans="2:14" ht="15" customHeight="1">
      <c r="B4" s="19" t="s">
        <v>2</v>
      </c>
      <c r="C4" s="20" t="s">
        <v>3</v>
      </c>
      <c r="D4" s="21" t="s">
        <v>4</v>
      </c>
      <c r="E4" s="22" t="s">
        <v>5</v>
      </c>
      <c r="F4" s="22" t="s">
        <v>6</v>
      </c>
      <c r="G4" s="21" t="s">
        <v>7</v>
      </c>
      <c r="H4" s="23" t="s">
        <v>8</v>
      </c>
      <c r="I4" s="23" t="s">
        <v>9</v>
      </c>
      <c r="J4" s="21" t="s">
        <v>10</v>
      </c>
      <c r="K4" s="21" t="s">
        <v>11</v>
      </c>
      <c r="L4" s="21" t="s">
        <v>12</v>
      </c>
      <c r="M4" s="23" t="s">
        <v>13</v>
      </c>
      <c r="N4" s="8"/>
    </row>
    <row r="5" spans="2:14" ht="15" customHeight="1">
      <c r="B5" s="24">
        <v>2019</v>
      </c>
      <c r="C5" s="18" t="s">
        <v>90</v>
      </c>
      <c r="D5" s="24">
        <v>31</v>
      </c>
      <c r="E5" s="25">
        <v>0.39900000000000002</v>
      </c>
      <c r="F5" s="25">
        <v>1</v>
      </c>
      <c r="G5" s="24">
        <v>28</v>
      </c>
      <c r="H5" s="26">
        <v>1.2</v>
      </c>
      <c r="I5" s="26">
        <v>0.5</v>
      </c>
      <c r="J5" s="24">
        <v>8</v>
      </c>
      <c r="K5" s="24">
        <v>5</v>
      </c>
      <c r="L5" s="24">
        <v>172</v>
      </c>
      <c r="M5" s="26">
        <f>L5/D5</f>
        <v>5.5483870967741939</v>
      </c>
      <c r="N5" s="12"/>
    </row>
    <row r="6" spans="2:14" ht="15" customHeight="1">
      <c r="B6" s="27" t="s">
        <v>15</v>
      </c>
      <c r="C6" s="18" t="s">
        <v>33</v>
      </c>
      <c r="D6" s="24">
        <v>141</v>
      </c>
      <c r="E6" s="25">
        <v>0.40300000000000002</v>
      </c>
      <c r="F6" s="25">
        <v>0.90100000000000002</v>
      </c>
      <c r="G6" s="24">
        <v>125</v>
      </c>
      <c r="H6" s="26">
        <v>1.1000000000000001</v>
      </c>
      <c r="I6" s="26">
        <v>0.7</v>
      </c>
      <c r="J6" s="24">
        <v>27</v>
      </c>
      <c r="K6" s="24">
        <v>10</v>
      </c>
      <c r="L6" s="24">
        <v>745</v>
      </c>
      <c r="M6" s="26">
        <f>L6/D6</f>
        <v>5.2836879432624118</v>
      </c>
      <c r="N6" s="12"/>
    </row>
    <row r="7" spans="2:14" ht="15" customHeight="1">
      <c r="B7" s="9"/>
      <c r="D7" s="10"/>
      <c r="E7" s="11"/>
      <c r="F7" s="11"/>
      <c r="G7" s="10"/>
      <c r="H7" s="12"/>
      <c r="I7" s="12"/>
      <c r="J7" s="10"/>
      <c r="K7" s="10"/>
      <c r="L7" s="10"/>
      <c r="M7" s="12"/>
      <c r="N7" s="12"/>
    </row>
    <row r="8" spans="2:14" ht="15" customHeight="1">
      <c r="B8" s="30" t="s">
        <v>271</v>
      </c>
    </row>
    <row r="9" spans="2:14" ht="15" customHeight="1">
      <c r="B9" s="19" t="s">
        <v>2</v>
      </c>
      <c r="C9" s="20" t="s">
        <v>3</v>
      </c>
      <c r="D9" s="21" t="s">
        <v>4</v>
      </c>
      <c r="E9" s="22" t="s">
        <v>5</v>
      </c>
      <c r="F9" s="22" t="s">
        <v>6</v>
      </c>
      <c r="G9" s="21" t="s">
        <v>7</v>
      </c>
      <c r="H9" s="23" t="s">
        <v>8</v>
      </c>
      <c r="I9" s="23" t="s">
        <v>9</v>
      </c>
      <c r="J9" s="21" t="s">
        <v>10</v>
      </c>
      <c r="K9" s="21" t="s">
        <v>11</v>
      </c>
      <c r="L9" s="21" t="s">
        <v>12</v>
      </c>
      <c r="M9" s="23" t="s">
        <v>13</v>
      </c>
      <c r="N9" s="8"/>
    </row>
    <row r="10" spans="2:14" ht="15" customHeight="1">
      <c r="B10" s="24">
        <v>2019</v>
      </c>
      <c r="C10" s="18" t="s">
        <v>90</v>
      </c>
      <c r="D10" s="24">
        <v>34</v>
      </c>
      <c r="E10" s="25">
        <v>0.40899999999999997</v>
      </c>
      <c r="F10" s="25">
        <v>0.75</v>
      </c>
      <c r="G10" s="24">
        <v>18</v>
      </c>
      <c r="H10" s="26">
        <v>3.1</v>
      </c>
      <c r="I10" s="26">
        <v>1</v>
      </c>
      <c r="J10" s="24">
        <v>10</v>
      </c>
      <c r="K10" s="24">
        <v>9</v>
      </c>
      <c r="L10" s="24">
        <v>191</v>
      </c>
      <c r="M10" s="26">
        <f>L10/D10</f>
        <v>5.617647058823529</v>
      </c>
      <c r="N10" s="12"/>
    </row>
    <row r="11" spans="2:14" ht="15" customHeight="1">
      <c r="B11" s="27" t="s">
        <v>15</v>
      </c>
      <c r="C11" s="18" t="s">
        <v>162</v>
      </c>
      <c r="D11" s="24">
        <v>393</v>
      </c>
      <c r="E11" s="25">
        <v>0.56100000000000005</v>
      </c>
      <c r="F11" s="25">
        <v>0.70299999999999996</v>
      </c>
      <c r="G11" s="24">
        <v>26</v>
      </c>
      <c r="H11" s="26">
        <v>6.2</v>
      </c>
      <c r="I11" s="26">
        <v>1.1000000000000001</v>
      </c>
      <c r="J11" s="24">
        <v>313</v>
      </c>
      <c r="K11" s="24">
        <v>116</v>
      </c>
      <c r="L11" s="24">
        <v>4415</v>
      </c>
      <c r="M11" s="26">
        <f>L11/D11</f>
        <v>11.23409669211196</v>
      </c>
      <c r="N11" s="12"/>
    </row>
    <row r="12" spans="2:14" ht="15" customHeight="1">
      <c r="B12" s="29"/>
    </row>
    <row r="13" spans="2:14" ht="15" customHeight="1">
      <c r="B13" s="30" t="s">
        <v>272</v>
      </c>
    </row>
    <row r="14" spans="2:14" ht="15" customHeight="1">
      <c r="B14" s="19" t="s">
        <v>2</v>
      </c>
      <c r="C14" s="20" t="s">
        <v>3</v>
      </c>
      <c r="D14" s="21" t="s">
        <v>4</v>
      </c>
      <c r="E14" s="22" t="s">
        <v>5</v>
      </c>
      <c r="F14" s="22" t="s">
        <v>6</v>
      </c>
      <c r="G14" s="21" t="s">
        <v>7</v>
      </c>
      <c r="H14" s="23" t="s">
        <v>8</v>
      </c>
      <c r="I14" s="23" t="s">
        <v>9</v>
      </c>
      <c r="J14" s="21" t="s">
        <v>10</v>
      </c>
      <c r="K14" s="21" t="s">
        <v>11</v>
      </c>
      <c r="L14" s="21" t="s">
        <v>12</v>
      </c>
      <c r="M14" s="23" t="s">
        <v>13</v>
      </c>
      <c r="N14" s="8"/>
    </row>
    <row r="15" spans="2:14" ht="15" customHeight="1">
      <c r="B15" s="24">
        <v>2019</v>
      </c>
      <c r="C15" s="18" t="s">
        <v>90</v>
      </c>
      <c r="D15" s="24">
        <v>30</v>
      </c>
      <c r="E15" s="25">
        <v>0.4</v>
      </c>
      <c r="F15" s="25">
        <v>0.42899999999999999</v>
      </c>
      <c r="G15" s="24">
        <v>0</v>
      </c>
      <c r="H15" s="26">
        <v>1.7</v>
      </c>
      <c r="I15" s="26">
        <v>0.4</v>
      </c>
      <c r="J15" s="24">
        <v>8</v>
      </c>
      <c r="K15" s="24">
        <v>3</v>
      </c>
      <c r="L15" s="24">
        <v>15</v>
      </c>
      <c r="M15" s="26">
        <f>L15/D15</f>
        <v>0.5</v>
      </c>
      <c r="N15" s="12"/>
    </row>
    <row r="16" spans="2:14" ht="15" customHeight="1">
      <c r="B16" s="27" t="s">
        <v>15</v>
      </c>
      <c r="C16" s="18" t="s">
        <v>20</v>
      </c>
      <c r="D16" s="24">
        <v>297</v>
      </c>
      <c r="E16" s="25">
        <v>0.52800000000000002</v>
      </c>
      <c r="F16" s="25">
        <v>0.51400000000000001</v>
      </c>
      <c r="G16" s="24">
        <v>0</v>
      </c>
      <c r="H16" s="26">
        <v>5.4</v>
      </c>
      <c r="I16" s="26">
        <v>0.7</v>
      </c>
      <c r="J16" s="24">
        <v>112</v>
      </c>
      <c r="K16" s="24">
        <v>178</v>
      </c>
      <c r="L16" s="24">
        <v>1404</v>
      </c>
      <c r="M16" s="26">
        <f>L16/D16</f>
        <v>4.7272727272727275</v>
      </c>
      <c r="N16" s="12"/>
    </row>
    <row r="17" spans="2:14" ht="15" customHeight="1">
      <c r="B17" s="9"/>
      <c r="D17" s="10"/>
      <c r="E17" s="11"/>
      <c r="F17" s="11"/>
      <c r="G17" s="10"/>
      <c r="H17" s="12"/>
      <c r="I17" s="12"/>
      <c r="J17" s="10"/>
      <c r="K17" s="10"/>
      <c r="L17" s="10"/>
      <c r="M17" s="12"/>
      <c r="N17" s="12"/>
    </row>
    <row r="18" spans="2:14" ht="15" customHeight="1">
      <c r="B18" s="30" t="s">
        <v>273</v>
      </c>
    </row>
    <row r="19" spans="2:14" ht="15" customHeight="1">
      <c r="B19" s="19" t="s">
        <v>2</v>
      </c>
      <c r="C19" s="20" t="s">
        <v>3</v>
      </c>
      <c r="D19" s="21" t="s">
        <v>4</v>
      </c>
      <c r="E19" s="22" t="s">
        <v>5</v>
      </c>
      <c r="F19" s="22" t="s">
        <v>6</v>
      </c>
      <c r="G19" s="21" t="s">
        <v>7</v>
      </c>
      <c r="H19" s="23" t="s">
        <v>8</v>
      </c>
      <c r="I19" s="23" t="s">
        <v>9</v>
      </c>
      <c r="J19" s="21" t="s">
        <v>10</v>
      </c>
      <c r="K19" s="21" t="s">
        <v>11</v>
      </c>
      <c r="L19" s="21" t="s">
        <v>12</v>
      </c>
      <c r="M19" s="23" t="s">
        <v>13</v>
      </c>
      <c r="N19" s="8"/>
    </row>
    <row r="20" spans="2:14" ht="15" customHeight="1">
      <c r="B20" s="24">
        <v>2019</v>
      </c>
      <c r="C20" s="18" t="s">
        <v>85</v>
      </c>
      <c r="D20" s="24">
        <v>33</v>
      </c>
      <c r="E20" s="25">
        <v>0.38800000000000001</v>
      </c>
      <c r="F20" s="25">
        <v>0.6</v>
      </c>
      <c r="G20" s="24">
        <v>15</v>
      </c>
      <c r="H20" s="26">
        <v>2</v>
      </c>
      <c r="I20" s="26">
        <v>0.8</v>
      </c>
      <c r="J20" s="24">
        <v>13</v>
      </c>
      <c r="K20" s="24">
        <v>3</v>
      </c>
      <c r="L20" s="24">
        <v>123</v>
      </c>
      <c r="M20" s="26">
        <f>L20/D20</f>
        <v>3.7272727272727271</v>
      </c>
      <c r="N20" s="12"/>
    </row>
    <row r="21" spans="2:14" ht="15" customHeight="1">
      <c r="B21" s="27" t="s">
        <v>15</v>
      </c>
      <c r="C21" s="18" t="s">
        <v>31</v>
      </c>
      <c r="D21" s="24">
        <v>115</v>
      </c>
      <c r="E21" s="25">
        <v>0.41299999999999998</v>
      </c>
      <c r="F21" s="25">
        <v>0.72299999999999998</v>
      </c>
      <c r="G21" s="24">
        <v>65</v>
      </c>
      <c r="H21" s="26">
        <v>2.2999999999999998</v>
      </c>
      <c r="I21" s="26">
        <v>0.8</v>
      </c>
      <c r="J21" s="24">
        <v>45</v>
      </c>
      <c r="K21" s="24">
        <v>9</v>
      </c>
      <c r="L21" s="24">
        <v>625</v>
      </c>
      <c r="M21" s="26">
        <f>L21/D21</f>
        <v>5.4347826086956523</v>
      </c>
      <c r="N21" s="12"/>
    </row>
    <row r="22" spans="2:14" ht="15" customHeight="1">
      <c r="B22" s="29"/>
    </row>
    <row r="23" spans="2:14" ht="15" customHeight="1">
      <c r="B23" s="30" t="s">
        <v>274</v>
      </c>
    </row>
    <row r="24" spans="2:14" ht="15" customHeight="1">
      <c r="B24" s="19" t="s">
        <v>2</v>
      </c>
      <c r="C24" s="20" t="s">
        <v>3</v>
      </c>
      <c r="D24" s="21" t="s">
        <v>4</v>
      </c>
      <c r="E24" s="22" t="s">
        <v>5</v>
      </c>
      <c r="F24" s="22" t="s">
        <v>6</v>
      </c>
      <c r="G24" s="21" t="s">
        <v>7</v>
      </c>
      <c r="H24" s="23" t="s">
        <v>8</v>
      </c>
      <c r="I24" s="23" t="s">
        <v>9</v>
      </c>
      <c r="J24" s="21" t="s">
        <v>10</v>
      </c>
      <c r="K24" s="21" t="s">
        <v>11</v>
      </c>
      <c r="L24" s="21" t="s">
        <v>12</v>
      </c>
      <c r="M24" s="23" t="s">
        <v>13</v>
      </c>
      <c r="N24" s="8"/>
    </row>
    <row r="25" spans="2:14" ht="15" customHeight="1">
      <c r="B25" s="24">
        <v>2023</v>
      </c>
      <c r="C25" s="18" t="s">
        <v>90</v>
      </c>
      <c r="D25" s="24">
        <v>37</v>
      </c>
      <c r="E25" s="25">
        <v>0.51600000000000001</v>
      </c>
      <c r="F25" s="25">
        <v>0.60499999999999998</v>
      </c>
      <c r="G25" s="24">
        <v>0</v>
      </c>
      <c r="H25" s="26">
        <v>4</v>
      </c>
      <c r="I25" s="26">
        <v>1.3</v>
      </c>
      <c r="J25" s="24">
        <v>16</v>
      </c>
      <c r="K25" s="24">
        <v>17</v>
      </c>
      <c r="L25" s="24">
        <v>185</v>
      </c>
      <c r="M25" s="26">
        <f>L25/D25</f>
        <v>5</v>
      </c>
      <c r="N25" s="12"/>
    </row>
    <row r="26" spans="2:14" ht="15" customHeight="1">
      <c r="B26" s="27" t="s">
        <v>15</v>
      </c>
      <c r="C26" s="18" t="s">
        <v>71</v>
      </c>
      <c r="D26" s="24">
        <v>152</v>
      </c>
      <c r="E26" s="25">
        <v>0.52500000000000002</v>
      </c>
      <c r="F26" s="25">
        <v>0.65100000000000002</v>
      </c>
      <c r="G26" s="24">
        <v>0</v>
      </c>
      <c r="H26" s="26">
        <v>3</v>
      </c>
      <c r="I26" s="26">
        <v>4.3</v>
      </c>
      <c r="J26" s="24">
        <v>90</v>
      </c>
      <c r="K26" s="24">
        <v>56</v>
      </c>
      <c r="L26" s="24">
        <v>787</v>
      </c>
      <c r="M26" s="26">
        <f>L26/D26</f>
        <v>5.1776315789473681</v>
      </c>
      <c r="N26" s="12"/>
    </row>
    <row r="27" spans="2:14" ht="15" customHeight="1">
      <c r="D27" s="14"/>
    </row>
    <row r="28" spans="2:14" ht="15" customHeight="1">
      <c r="B28" s="30" t="s">
        <v>275</v>
      </c>
    </row>
    <row r="29" spans="2:14" ht="15" customHeight="1">
      <c r="B29" s="19" t="s">
        <v>2</v>
      </c>
      <c r="C29" s="20" t="s">
        <v>3</v>
      </c>
      <c r="D29" s="21" t="s">
        <v>4</v>
      </c>
      <c r="E29" s="22" t="s">
        <v>5</v>
      </c>
      <c r="F29" s="22" t="s">
        <v>6</v>
      </c>
      <c r="G29" s="21" t="s">
        <v>7</v>
      </c>
      <c r="H29" s="23" t="s">
        <v>8</v>
      </c>
      <c r="I29" s="23" t="s">
        <v>9</v>
      </c>
      <c r="J29" s="21" t="s">
        <v>10</v>
      </c>
      <c r="K29" s="21" t="s">
        <v>11</v>
      </c>
      <c r="L29" s="21" t="s">
        <v>12</v>
      </c>
      <c r="M29" s="23" t="s">
        <v>13</v>
      </c>
      <c r="N29" s="8"/>
    </row>
    <row r="30" spans="2:14" ht="15" customHeight="1">
      <c r="B30" s="24">
        <v>2024</v>
      </c>
      <c r="C30" s="18" t="s">
        <v>90</v>
      </c>
      <c r="D30" s="24">
        <v>37</v>
      </c>
      <c r="E30" s="25">
        <v>0.51200000000000001</v>
      </c>
      <c r="F30" s="25">
        <v>0.875</v>
      </c>
      <c r="G30" s="24">
        <v>13</v>
      </c>
      <c r="H30" s="26">
        <v>8</v>
      </c>
      <c r="I30" s="26">
        <v>2</v>
      </c>
      <c r="J30" s="24">
        <v>40</v>
      </c>
      <c r="K30" s="24">
        <v>82</v>
      </c>
      <c r="L30" s="24">
        <v>433</v>
      </c>
      <c r="M30" s="26">
        <f>L30/D30</f>
        <v>11.702702702702704</v>
      </c>
      <c r="N30" s="12"/>
    </row>
    <row r="31" spans="2:14" ht="15" customHeight="1">
      <c r="B31" s="27" t="s">
        <v>15</v>
      </c>
      <c r="C31" s="18" t="s">
        <v>33</v>
      </c>
      <c r="D31" s="24">
        <v>162</v>
      </c>
      <c r="E31" s="25">
        <v>0.52400000000000002</v>
      </c>
      <c r="F31" s="25">
        <v>0.76900000000000002</v>
      </c>
      <c r="G31" s="24">
        <v>172</v>
      </c>
      <c r="H31" s="26">
        <v>6</v>
      </c>
      <c r="I31" s="26">
        <v>1.6</v>
      </c>
      <c r="J31" s="24">
        <v>144</v>
      </c>
      <c r="K31" s="24">
        <v>259</v>
      </c>
      <c r="L31" s="24">
        <v>1642</v>
      </c>
      <c r="M31" s="26">
        <f>L31/D31</f>
        <v>10.135802469135802</v>
      </c>
      <c r="N31" s="12"/>
    </row>
    <row r="32" spans="2:14" ht="15" customHeight="1">
      <c r="D32" s="14"/>
    </row>
    <row r="33" spans="2:14" ht="15" customHeight="1">
      <c r="B33" s="30" t="s">
        <v>276</v>
      </c>
    </row>
    <row r="34" spans="2:14" ht="15" customHeight="1">
      <c r="B34" s="19" t="s">
        <v>2</v>
      </c>
      <c r="C34" s="20" t="s">
        <v>3</v>
      </c>
      <c r="D34" s="21" t="s">
        <v>4</v>
      </c>
      <c r="E34" s="22" t="s">
        <v>5</v>
      </c>
      <c r="F34" s="22" t="s">
        <v>6</v>
      </c>
      <c r="G34" s="21" t="s">
        <v>7</v>
      </c>
      <c r="H34" s="23" t="s">
        <v>8</v>
      </c>
      <c r="I34" s="23" t="s">
        <v>9</v>
      </c>
      <c r="J34" s="21" t="s">
        <v>10</v>
      </c>
      <c r="K34" s="21" t="s">
        <v>11</v>
      </c>
      <c r="L34" s="21" t="s">
        <v>12</v>
      </c>
      <c r="M34" s="23" t="s">
        <v>13</v>
      </c>
      <c r="N34" s="8"/>
    </row>
    <row r="35" spans="2:14" ht="15" customHeight="1">
      <c r="B35" s="24">
        <v>2021</v>
      </c>
      <c r="C35" s="18" t="s">
        <v>90</v>
      </c>
      <c r="D35" s="24">
        <v>23</v>
      </c>
      <c r="E35" s="25">
        <v>0.44600000000000001</v>
      </c>
      <c r="F35" s="25">
        <v>0.625</v>
      </c>
      <c r="G35" s="24">
        <v>6</v>
      </c>
      <c r="H35" s="26">
        <v>0.8</v>
      </c>
      <c r="I35" s="26">
        <v>0.3</v>
      </c>
      <c r="J35" s="24">
        <v>6</v>
      </c>
      <c r="K35" s="24">
        <v>3</v>
      </c>
      <c r="L35" s="24">
        <v>66</v>
      </c>
      <c r="M35" s="26">
        <f>L35/D35</f>
        <v>2.8695652173913042</v>
      </c>
      <c r="N35" s="12"/>
    </row>
    <row r="36" spans="2:14" ht="15" customHeight="1">
      <c r="B36" s="27" t="s">
        <v>15</v>
      </c>
      <c r="C36" s="18" t="s">
        <v>23</v>
      </c>
      <c r="D36" s="24">
        <v>76</v>
      </c>
      <c r="E36" s="25">
        <v>0.42299999999999999</v>
      </c>
      <c r="F36" s="25">
        <v>0.69599999999999995</v>
      </c>
      <c r="G36" s="24">
        <v>35</v>
      </c>
      <c r="H36" s="26">
        <v>1.4</v>
      </c>
      <c r="I36" s="26">
        <v>0.7</v>
      </c>
      <c r="J36" s="24">
        <v>38</v>
      </c>
      <c r="K36" s="24">
        <v>21</v>
      </c>
      <c r="L36" s="24">
        <v>360</v>
      </c>
      <c r="M36" s="26">
        <f>L36/D36</f>
        <v>4.7368421052631575</v>
      </c>
      <c r="N36" s="12"/>
    </row>
    <row r="37" spans="2:14" ht="15" customHeight="1">
      <c r="B37" s="9"/>
      <c r="D37" s="10"/>
      <c r="E37" s="11"/>
      <c r="F37" s="11"/>
      <c r="G37" s="10"/>
      <c r="H37" s="12"/>
      <c r="I37" s="12"/>
      <c r="J37" s="10"/>
      <c r="K37" s="10"/>
      <c r="L37" s="10"/>
      <c r="M37" s="12"/>
      <c r="N37" s="12"/>
    </row>
    <row r="38" spans="2:14" ht="15" customHeight="1">
      <c r="B38" s="30" t="s">
        <v>277</v>
      </c>
    </row>
    <row r="39" spans="2:14" ht="15" customHeight="1">
      <c r="B39" s="19" t="s">
        <v>2</v>
      </c>
      <c r="C39" s="20" t="s">
        <v>3</v>
      </c>
      <c r="D39" s="21" t="s">
        <v>4</v>
      </c>
      <c r="E39" s="22" t="s">
        <v>5</v>
      </c>
      <c r="F39" s="22" t="s">
        <v>6</v>
      </c>
      <c r="G39" s="21" t="s">
        <v>7</v>
      </c>
      <c r="H39" s="23" t="s">
        <v>8</v>
      </c>
      <c r="I39" s="23" t="s">
        <v>9</v>
      </c>
      <c r="J39" s="21" t="s">
        <v>10</v>
      </c>
      <c r="K39" s="21" t="s">
        <v>11</v>
      </c>
      <c r="L39" s="21" t="s">
        <v>12</v>
      </c>
      <c r="M39" s="23" t="s">
        <v>13</v>
      </c>
      <c r="N39" s="8"/>
    </row>
    <row r="40" spans="2:14" ht="15" customHeight="1">
      <c r="B40" s="24">
        <v>2021</v>
      </c>
      <c r="C40" s="18" t="s">
        <v>85</v>
      </c>
      <c r="D40" s="24">
        <v>29</v>
      </c>
      <c r="E40" s="25">
        <v>0.42499999999999999</v>
      </c>
      <c r="F40" s="25">
        <v>0.86799999999999999</v>
      </c>
      <c r="G40" s="24">
        <v>27</v>
      </c>
      <c r="H40" s="26">
        <v>1.4</v>
      </c>
      <c r="I40" s="26">
        <v>3.1</v>
      </c>
      <c r="J40" s="24">
        <v>25</v>
      </c>
      <c r="K40" s="24">
        <v>4</v>
      </c>
      <c r="L40" s="24">
        <v>202</v>
      </c>
      <c r="M40" s="26">
        <f>L40/D40</f>
        <v>6.9655172413793105</v>
      </c>
      <c r="N40" s="12"/>
    </row>
    <row r="41" spans="2:14" ht="15" customHeight="1">
      <c r="B41" s="27" t="s">
        <v>15</v>
      </c>
      <c r="C41" s="18" t="s">
        <v>42</v>
      </c>
      <c r="D41" s="24">
        <v>357</v>
      </c>
      <c r="E41" s="25">
        <v>0.38500000000000001</v>
      </c>
      <c r="F41" s="25">
        <v>0.84599999999999997</v>
      </c>
      <c r="G41" s="24">
        <v>358</v>
      </c>
      <c r="H41" s="26">
        <v>1.8</v>
      </c>
      <c r="I41" s="26">
        <v>3.5</v>
      </c>
      <c r="J41" s="24">
        <v>363</v>
      </c>
      <c r="K41" s="24">
        <v>52</v>
      </c>
      <c r="L41" s="24">
        <v>2950</v>
      </c>
      <c r="M41" s="26">
        <f>L41/D41</f>
        <v>8.2633053221288524</v>
      </c>
      <c r="N41" s="12"/>
    </row>
    <row r="42" spans="2:14" s="28" customFormat="1" ht="15" customHeight="1">
      <c r="B42" s="9"/>
      <c r="C42" s="1"/>
      <c r="D42" s="10"/>
      <c r="E42" s="11"/>
      <c r="F42" s="11"/>
      <c r="G42" s="10"/>
      <c r="H42" s="12"/>
      <c r="I42" s="12"/>
      <c r="J42" s="10"/>
      <c r="K42" s="10"/>
      <c r="L42" s="10"/>
      <c r="M42" s="12"/>
      <c r="N42" s="12"/>
    </row>
    <row r="43" spans="2:14" ht="15" customHeight="1">
      <c r="B43" s="30" t="s">
        <v>278</v>
      </c>
    </row>
    <row r="44" spans="2:14" ht="15" customHeight="1">
      <c r="B44" s="19" t="s">
        <v>2</v>
      </c>
      <c r="C44" s="20" t="s">
        <v>3</v>
      </c>
      <c r="D44" s="21" t="s">
        <v>4</v>
      </c>
      <c r="E44" s="22" t="s">
        <v>5</v>
      </c>
      <c r="F44" s="22" t="s">
        <v>6</v>
      </c>
      <c r="G44" s="21" t="s">
        <v>7</v>
      </c>
      <c r="H44" s="23" t="s">
        <v>8</v>
      </c>
      <c r="I44" s="23" t="s">
        <v>9</v>
      </c>
      <c r="J44" s="21" t="s">
        <v>10</v>
      </c>
      <c r="K44" s="21" t="s">
        <v>11</v>
      </c>
      <c r="L44" s="21" t="s">
        <v>12</v>
      </c>
      <c r="M44" s="23" t="s">
        <v>13</v>
      </c>
      <c r="N44" s="8"/>
    </row>
    <row r="45" spans="2:14" ht="15" customHeight="1">
      <c r="B45" s="24">
        <v>2022</v>
      </c>
      <c r="C45" s="18" t="s">
        <v>22</v>
      </c>
      <c r="D45" s="24">
        <v>32</v>
      </c>
      <c r="E45" s="25">
        <v>0.25</v>
      </c>
      <c r="F45" s="25">
        <v>1</v>
      </c>
      <c r="G45" s="24">
        <v>10</v>
      </c>
      <c r="H45" s="26">
        <v>1.5</v>
      </c>
      <c r="I45" s="26">
        <v>0.2</v>
      </c>
      <c r="J45" s="24">
        <v>6</v>
      </c>
      <c r="K45" s="24">
        <v>3</v>
      </c>
      <c r="L45" s="24">
        <v>51</v>
      </c>
      <c r="M45" s="26">
        <f>L45/D45</f>
        <v>1.59375</v>
      </c>
      <c r="N45" s="12"/>
    </row>
    <row r="46" spans="2:14" ht="15" customHeight="1">
      <c r="B46" s="27" t="s">
        <v>15</v>
      </c>
      <c r="C46" s="18" t="s">
        <v>38</v>
      </c>
      <c r="D46" s="24">
        <v>34</v>
      </c>
      <c r="E46" s="25">
        <v>0.23499999999999999</v>
      </c>
      <c r="F46" s="25">
        <v>0.6</v>
      </c>
      <c r="G46" s="24">
        <v>10</v>
      </c>
      <c r="H46" s="26">
        <v>1.4</v>
      </c>
      <c r="I46" s="26">
        <v>0.2</v>
      </c>
      <c r="J46" s="24">
        <v>8</v>
      </c>
      <c r="K46" s="24">
        <v>4</v>
      </c>
      <c r="L46" s="24">
        <v>51</v>
      </c>
      <c r="M46" s="26">
        <f>L46/D46</f>
        <v>1.5</v>
      </c>
      <c r="N46" s="12"/>
    </row>
    <row r="47" spans="2:14" s="28" customFormat="1" ht="15" customHeight="1">
      <c r="B47" s="9"/>
      <c r="C47" s="1"/>
      <c r="D47" s="10"/>
      <c r="E47" s="11"/>
      <c r="F47" s="11"/>
      <c r="G47" s="10"/>
      <c r="H47" s="12"/>
      <c r="I47" s="12"/>
      <c r="J47" s="10"/>
      <c r="K47" s="10"/>
      <c r="L47" s="10"/>
      <c r="M47" s="12"/>
      <c r="N47" s="12"/>
    </row>
    <row r="48" spans="2:14" ht="15" customHeight="1">
      <c r="B48" s="30" t="s">
        <v>279</v>
      </c>
    </row>
    <row r="49" spans="2:14" ht="15" customHeight="1">
      <c r="B49" s="19" t="s">
        <v>2</v>
      </c>
      <c r="C49" s="20" t="s">
        <v>3</v>
      </c>
      <c r="D49" s="21" t="s">
        <v>4</v>
      </c>
      <c r="E49" s="22" t="s">
        <v>5</v>
      </c>
      <c r="F49" s="22" t="s">
        <v>6</v>
      </c>
      <c r="G49" s="21" t="s">
        <v>7</v>
      </c>
      <c r="H49" s="23" t="s">
        <v>8</v>
      </c>
      <c r="I49" s="23" t="s">
        <v>9</v>
      </c>
      <c r="J49" s="21" t="s">
        <v>10</v>
      </c>
      <c r="K49" s="21" t="s">
        <v>11</v>
      </c>
      <c r="L49" s="21" t="s">
        <v>12</v>
      </c>
      <c r="M49" s="23" t="s">
        <v>13</v>
      </c>
      <c r="N49" s="8"/>
    </row>
    <row r="50" spans="2:14" ht="15" customHeight="1">
      <c r="B50" s="24">
        <v>2022</v>
      </c>
      <c r="C50" s="18" t="s">
        <v>130</v>
      </c>
      <c r="D50" s="24">
        <v>31</v>
      </c>
      <c r="E50" s="25">
        <v>0.371</v>
      </c>
      <c r="F50" s="25">
        <v>0.7</v>
      </c>
      <c r="G50" s="24">
        <v>31</v>
      </c>
      <c r="H50" s="26">
        <v>2.6</v>
      </c>
      <c r="I50" s="26">
        <v>0.5</v>
      </c>
      <c r="J50" s="24">
        <v>8</v>
      </c>
      <c r="K50" s="24">
        <v>13</v>
      </c>
      <c r="L50" s="24">
        <v>124</v>
      </c>
      <c r="M50" s="26">
        <f>L50/D50</f>
        <v>4</v>
      </c>
      <c r="N50" s="12"/>
    </row>
    <row r="51" spans="2:14" ht="15" customHeight="1">
      <c r="B51" s="27" t="s">
        <v>15</v>
      </c>
      <c r="C51" s="18" t="s">
        <v>50</v>
      </c>
      <c r="D51" s="24">
        <v>218</v>
      </c>
      <c r="E51" s="25">
        <v>0.36299999999999999</v>
      </c>
      <c r="F51" s="25">
        <v>0.78400000000000003</v>
      </c>
      <c r="G51" s="24">
        <v>172</v>
      </c>
      <c r="H51" s="26">
        <v>3</v>
      </c>
      <c r="I51" s="26">
        <v>0.7</v>
      </c>
      <c r="J51" s="24">
        <v>91</v>
      </c>
      <c r="K51" s="24">
        <v>102</v>
      </c>
      <c r="L51" s="24">
        <v>974</v>
      </c>
      <c r="M51" s="26">
        <f>L51/D51</f>
        <v>4.4678899082568808</v>
      </c>
      <c r="N51" s="12"/>
    </row>
    <row r="52" spans="2:14" ht="15" customHeight="1">
      <c r="B52" s="9"/>
      <c r="D52" s="10"/>
      <c r="E52" s="11"/>
      <c r="F52" s="11"/>
      <c r="G52" s="10"/>
      <c r="H52" s="12"/>
      <c r="I52" s="12"/>
      <c r="J52" s="10"/>
      <c r="K52" s="10"/>
      <c r="L52" s="10"/>
      <c r="M52" s="12"/>
      <c r="N52" s="12"/>
    </row>
    <row r="53" spans="2:14" ht="15" customHeight="1">
      <c r="B53" s="30" t="s">
        <v>280</v>
      </c>
    </row>
    <row r="54" spans="2:14" ht="15" customHeight="1">
      <c r="B54" s="19" t="s">
        <v>2</v>
      </c>
      <c r="C54" s="20" t="s">
        <v>3</v>
      </c>
      <c r="D54" s="21" t="s">
        <v>4</v>
      </c>
      <c r="E54" s="22" t="s">
        <v>5</v>
      </c>
      <c r="F54" s="22" t="s">
        <v>6</v>
      </c>
      <c r="G54" s="21" t="s">
        <v>7</v>
      </c>
      <c r="H54" s="23" t="s">
        <v>8</v>
      </c>
      <c r="I54" s="23" t="s">
        <v>9</v>
      </c>
      <c r="J54" s="21" t="s">
        <v>10</v>
      </c>
      <c r="K54" s="21" t="s">
        <v>11</v>
      </c>
      <c r="L54" s="21" t="s">
        <v>12</v>
      </c>
      <c r="M54" s="23" t="s">
        <v>13</v>
      </c>
      <c r="N54" s="8"/>
    </row>
    <row r="55" spans="2:14" ht="15" customHeight="1">
      <c r="B55" s="24">
        <v>2024</v>
      </c>
      <c r="C55" s="18" t="s">
        <v>90</v>
      </c>
      <c r="D55" s="24">
        <v>12</v>
      </c>
      <c r="E55" s="25">
        <v>0.48099999999999998</v>
      </c>
      <c r="F55" s="25">
        <v>0.73699999999999999</v>
      </c>
      <c r="G55" s="24">
        <v>10</v>
      </c>
      <c r="H55" s="26">
        <v>4</v>
      </c>
      <c r="I55" s="26">
        <v>3.7</v>
      </c>
      <c r="J55" s="24">
        <v>20</v>
      </c>
      <c r="K55" s="24">
        <v>3</v>
      </c>
      <c r="L55" s="24">
        <v>124</v>
      </c>
      <c r="M55" s="26">
        <f>L55/D55</f>
        <v>10.333333333333334</v>
      </c>
      <c r="N55" s="12"/>
    </row>
    <row r="56" spans="2:14" ht="15" customHeight="1">
      <c r="B56" s="27" t="s">
        <v>15</v>
      </c>
      <c r="C56" s="18" t="s">
        <v>71</v>
      </c>
      <c r="D56" s="24">
        <v>147</v>
      </c>
      <c r="E56" s="25">
        <v>0.42899999999999999</v>
      </c>
      <c r="F56" s="25">
        <v>0.75</v>
      </c>
      <c r="G56" s="24">
        <v>67</v>
      </c>
      <c r="H56" s="26">
        <v>3.9</v>
      </c>
      <c r="I56" s="26">
        <v>2.5</v>
      </c>
      <c r="J56" s="24">
        <v>197</v>
      </c>
      <c r="K56" s="24">
        <v>40</v>
      </c>
      <c r="L56" s="24">
        <v>1080</v>
      </c>
      <c r="M56" s="26">
        <f>L56/D56</f>
        <v>7.3469387755102042</v>
      </c>
      <c r="N56" s="12"/>
    </row>
    <row r="57" spans="2:14" s="28" customFormat="1" ht="15" customHeight="1">
      <c r="B57" s="9"/>
      <c r="C57" s="1"/>
      <c r="D57" s="10"/>
      <c r="E57" s="11"/>
      <c r="F57" s="11"/>
      <c r="G57" s="10"/>
      <c r="H57" s="12"/>
      <c r="I57" s="12"/>
      <c r="J57" s="10"/>
      <c r="K57" s="10"/>
      <c r="L57" s="10"/>
      <c r="M57" s="12"/>
      <c r="N57" s="12"/>
    </row>
    <row r="58" spans="2:14" ht="15" customHeight="1">
      <c r="B58" s="30" t="s">
        <v>281</v>
      </c>
    </row>
    <row r="59" spans="2:14" ht="15" customHeight="1">
      <c r="B59" s="19" t="s">
        <v>2</v>
      </c>
      <c r="C59" s="20" t="s">
        <v>3</v>
      </c>
      <c r="D59" s="21" t="s">
        <v>4</v>
      </c>
      <c r="E59" s="22" t="s">
        <v>5</v>
      </c>
      <c r="F59" s="22" t="s">
        <v>6</v>
      </c>
      <c r="G59" s="21" t="s">
        <v>7</v>
      </c>
      <c r="H59" s="23" t="s">
        <v>8</v>
      </c>
      <c r="I59" s="23" t="s">
        <v>9</v>
      </c>
      <c r="J59" s="21" t="s">
        <v>10</v>
      </c>
      <c r="K59" s="21" t="s">
        <v>11</v>
      </c>
      <c r="L59" s="21" t="s">
        <v>12</v>
      </c>
      <c r="M59" s="23" t="s">
        <v>13</v>
      </c>
      <c r="N59" s="8"/>
    </row>
    <row r="60" spans="2:14" ht="15" customHeight="1">
      <c r="B60" s="24">
        <v>2024</v>
      </c>
      <c r="C60" s="18" t="s">
        <v>14</v>
      </c>
      <c r="D60" s="24">
        <v>39</v>
      </c>
      <c r="E60" s="25">
        <v>0.45600000000000002</v>
      </c>
      <c r="F60" s="25">
        <v>0.78500000000000003</v>
      </c>
      <c r="G60" s="24">
        <v>11</v>
      </c>
      <c r="H60" s="26">
        <v>9.6</v>
      </c>
      <c r="I60" s="26">
        <v>2.2999999999999998</v>
      </c>
      <c r="J60" s="24">
        <v>36</v>
      </c>
      <c r="K60" s="24">
        <v>20</v>
      </c>
      <c r="L60" s="24">
        <v>581</v>
      </c>
      <c r="M60" s="26">
        <f>L60/D60</f>
        <v>14.897435897435898</v>
      </c>
      <c r="N60" s="12"/>
    </row>
    <row r="61" spans="2:14" ht="15" customHeight="1">
      <c r="B61" s="27" t="s">
        <v>15</v>
      </c>
      <c r="C61" s="18" t="s">
        <v>42</v>
      </c>
      <c r="D61" s="24">
        <v>430</v>
      </c>
      <c r="E61" s="25">
        <v>0.46100000000000002</v>
      </c>
      <c r="F61" s="25">
        <v>0.77600000000000002</v>
      </c>
      <c r="G61" s="24">
        <v>185</v>
      </c>
      <c r="H61" s="26">
        <v>9.3000000000000007</v>
      </c>
      <c r="I61" s="26">
        <v>2.2000000000000002</v>
      </c>
      <c r="J61" s="24">
        <v>351</v>
      </c>
      <c r="K61" s="24">
        <v>409</v>
      </c>
      <c r="L61" s="24">
        <v>7696</v>
      </c>
      <c r="M61" s="26">
        <f>L61/D61</f>
        <v>17.897674418604652</v>
      </c>
      <c r="N61" s="12"/>
    </row>
    <row r="63" spans="2:14" ht="15" customHeight="1">
      <c r="B63" s="30" t="s">
        <v>282</v>
      </c>
    </row>
    <row r="64" spans="2:14" ht="15" customHeight="1">
      <c r="B64" s="19" t="s">
        <v>2</v>
      </c>
      <c r="C64" s="20" t="s">
        <v>3</v>
      </c>
      <c r="D64" s="21" t="s">
        <v>4</v>
      </c>
      <c r="E64" s="22" t="s">
        <v>5</v>
      </c>
      <c r="F64" s="22" t="s">
        <v>6</v>
      </c>
      <c r="G64" s="21" t="s">
        <v>7</v>
      </c>
      <c r="H64" s="23" t="s">
        <v>8</v>
      </c>
      <c r="I64" s="23" t="s">
        <v>9</v>
      </c>
      <c r="J64" s="21" t="s">
        <v>10</v>
      </c>
      <c r="K64" s="21" t="s">
        <v>11</v>
      </c>
      <c r="L64" s="21" t="s">
        <v>12</v>
      </c>
      <c r="M64" s="23" t="s">
        <v>13</v>
      </c>
      <c r="N64" s="8"/>
    </row>
    <row r="65" spans="2:14" ht="15" customHeight="1">
      <c r="B65" s="24">
        <v>2022</v>
      </c>
      <c r="C65" s="18" t="s">
        <v>283</v>
      </c>
      <c r="D65" s="24">
        <v>9</v>
      </c>
      <c r="E65" s="25">
        <v>0.32400000000000001</v>
      </c>
      <c r="F65" s="25">
        <v>0.81799999999999995</v>
      </c>
      <c r="G65" s="24">
        <v>3</v>
      </c>
      <c r="H65" s="26">
        <v>1.6</v>
      </c>
      <c r="I65" s="26">
        <v>2</v>
      </c>
      <c r="J65" s="24">
        <v>3</v>
      </c>
      <c r="K65" s="24">
        <v>0</v>
      </c>
      <c r="L65" s="24">
        <v>36</v>
      </c>
      <c r="M65" s="26">
        <f>L65/D65</f>
        <v>4</v>
      </c>
      <c r="N65" s="12"/>
    </row>
    <row r="66" spans="2:14" ht="15" customHeight="1">
      <c r="B66" s="27" t="s">
        <v>15</v>
      </c>
      <c r="C66" s="18" t="s">
        <v>31</v>
      </c>
      <c r="D66" s="24">
        <v>104</v>
      </c>
      <c r="E66" s="25">
        <v>0.372</v>
      </c>
      <c r="F66" s="25">
        <v>0.8</v>
      </c>
      <c r="G66" s="24">
        <v>65</v>
      </c>
      <c r="H66" s="26">
        <v>1.8</v>
      </c>
      <c r="I66" s="26">
        <v>1.6</v>
      </c>
      <c r="J66" s="24">
        <v>61</v>
      </c>
      <c r="K66" s="24">
        <v>5</v>
      </c>
      <c r="L66" s="24">
        <v>529</v>
      </c>
      <c r="M66" s="26">
        <f>L66/D66</f>
        <v>5.0865384615384617</v>
      </c>
      <c r="N66" s="12"/>
    </row>
    <row r="67" spans="2:14" ht="15" customHeight="1">
      <c r="B67" s="4"/>
      <c r="C67" s="5"/>
      <c r="D67" s="6"/>
      <c r="E67" s="7"/>
      <c r="F67" s="7"/>
      <c r="G67" s="6"/>
      <c r="H67" s="8"/>
      <c r="I67" s="8"/>
      <c r="J67" s="6"/>
      <c r="K67" s="6"/>
      <c r="L67" s="6"/>
      <c r="M67" s="8"/>
      <c r="N67" s="8"/>
    </row>
    <row r="68" spans="2:14" ht="15" customHeight="1">
      <c r="B68" s="30" t="s">
        <v>284</v>
      </c>
    </row>
    <row r="69" spans="2:14" ht="15" customHeight="1">
      <c r="B69" s="19" t="s">
        <v>2</v>
      </c>
      <c r="C69" s="20" t="s">
        <v>3</v>
      </c>
      <c r="D69" s="21" t="s">
        <v>4</v>
      </c>
      <c r="E69" s="22" t="s">
        <v>5</v>
      </c>
      <c r="F69" s="22" t="s">
        <v>6</v>
      </c>
      <c r="G69" s="21" t="s">
        <v>7</v>
      </c>
      <c r="H69" s="23" t="s">
        <v>8</v>
      </c>
      <c r="I69" s="23" t="s">
        <v>9</v>
      </c>
      <c r="J69" s="21" t="s">
        <v>10</v>
      </c>
      <c r="K69" s="21" t="s">
        <v>11</v>
      </c>
      <c r="L69" s="21" t="s">
        <v>12</v>
      </c>
      <c r="M69" s="23" t="s">
        <v>13</v>
      </c>
      <c r="N69" s="8"/>
    </row>
    <row r="70" spans="2:14" ht="15" customHeight="1">
      <c r="B70" s="24">
        <v>2024</v>
      </c>
      <c r="C70" s="18" t="s">
        <v>90</v>
      </c>
      <c r="D70" s="24">
        <v>40</v>
      </c>
      <c r="E70" s="25">
        <v>0.34599999999999997</v>
      </c>
      <c r="F70" s="25">
        <v>0.81799999999999995</v>
      </c>
      <c r="G70" s="24">
        <v>47</v>
      </c>
      <c r="H70" s="26">
        <v>1.9</v>
      </c>
      <c r="I70" s="26">
        <v>1.6</v>
      </c>
      <c r="J70" s="24">
        <v>30</v>
      </c>
      <c r="K70" s="24">
        <v>9</v>
      </c>
      <c r="L70" s="24">
        <v>200</v>
      </c>
      <c r="M70" s="26">
        <f>L70/D70</f>
        <v>5</v>
      </c>
      <c r="N70" s="12"/>
    </row>
    <row r="71" spans="2:14" ht="15" customHeight="1">
      <c r="B71" s="27" t="s">
        <v>15</v>
      </c>
      <c r="C71" s="18" t="s">
        <v>25</v>
      </c>
      <c r="D71" s="24">
        <v>264</v>
      </c>
      <c r="E71" s="25">
        <v>0.39400000000000002</v>
      </c>
      <c r="F71" s="25">
        <v>0.86699999999999999</v>
      </c>
      <c r="G71" s="24">
        <v>425</v>
      </c>
      <c r="H71" s="26">
        <v>2.2999999999999998</v>
      </c>
      <c r="I71" s="26">
        <v>2</v>
      </c>
      <c r="J71" s="24">
        <v>213</v>
      </c>
      <c r="K71" s="24">
        <v>49</v>
      </c>
      <c r="L71" s="24">
        <v>1821</v>
      </c>
      <c r="M71" s="26">
        <f>L71/D71</f>
        <v>6.8977272727272725</v>
      </c>
      <c r="N71" s="12"/>
    </row>
    <row r="72" spans="2:14" ht="15" customHeight="1">
      <c r="B72" s="4"/>
      <c r="C72" s="5"/>
      <c r="D72" s="6"/>
      <c r="E72" s="7"/>
      <c r="F72" s="7"/>
      <c r="G72" s="6"/>
      <c r="H72" s="8"/>
      <c r="I72" s="8"/>
      <c r="J72" s="6"/>
      <c r="K72" s="6"/>
      <c r="L72" s="6"/>
      <c r="M72" s="8"/>
      <c r="N72" s="8"/>
    </row>
    <row r="73" spans="2:14" ht="15" customHeight="1">
      <c r="B73" s="30" t="s">
        <v>285</v>
      </c>
    </row>
    <row r="74" spans="2:14" ht="15" customHeight="1">
      <c r="B74" s="19" t="s">
        <v>2</v>
      </c>
      <c r="C74" s="20" t="s">
        <v>3</v>
      </c>
      <c r="D74" s="21" t="s">
        <v>4</v>
      </c>
      <c r="E74" s="22" t="s">
        <v>5</v>
      </c>
      <c r="F74" s="22" t="s">
        <v>6</v>
      </c>
      <c r="G74" s="21" t="s">
        <v>7</v>
      </c>
      <c r="H74" s="23" t="s">
        <v>8</v>
      </c>
      <c r="I74" s="23" t="s">
        <v>9</v>
      </c>
      <c r="J74" s="21" t="s">
        <v>10</v>
      </c>
      <c r="K74" s="21" t="s">
        <v>11</v>
      </c>
      <c r="L74" s="21" t="s">
        <v>12</v>
      </c>
      <c r="M74" s="23" t="s">
        <v>13</v>
      </c>
      <c r="N74" s="8"/>
    </row>
    <row r="75" spans="2:14" ht="15" customHeight="1">
      <c r="B75" s="24">
        <v>2024</v>
      </c>
      <c r="C75" s="18" t="s">
        <v>90</v>
      </c>
      <c r="D75" s="24">
        <v>27</v>
      </c>
      <c r="E75" s="25">
        <v>0.42299999999999999</v>
      </c>
      <c r="F75" s="25">
        <v>0.63600000000000001</v>
      </c>
      <c r="G75" s="24">
        <v>6</v>
      </c>
      <c r="H75" s="26">
        <v>1.8</v>
      </c>
      <c r="I75" s="26">
        <v>0.9</v>
      </c>
      <c r="J75" s="24">
        <v>6</v>
      </c>
      <c r="K75" s="24">
        <v>6</v>
      </c>
      <c r="L75" s="24">
        <v>79</v>
      </c>
      <c r="M75" s="26">
        <f>L75/D75</f>
        <v>2.925925925925926</v>
      </c>
      <c r="N75" s="12"/>
    </row>
    <row r="76" spans="2:14" ht="15" customHeight="1">
      <c r="B76" s="27" t="s">
        <v>15</v>
      </c>
      <c r="C76" s="18" t="s">
        <v>33</v>
      </c>
      <c r="D76" s="24">
        <v>111</v>
      </c>
      <c r="E76" s="25">
        <v>0.36299999999999999</v>
      </c>
      <c r="F76" s="25">
        <v>0.73699999999999999</v>
      </c>
      <c r="G76" s="24">
        <v>32</v>
      </c>
      <c r="H76" s="26">
        <v>2</v>
      </c>
      <c r="I76" s="26">
        <v>0.7</v>
      </c>
      <c r="J76" s="24">
        <v>25</v>
      </c>
      <c r="K76" s="24">
        <v>21</v>
      </c>
      <c r="L76" s="24">
        <v>314</v>
      </c>
      <c r="M76" s="26">
        <f>L76/D76</f>
        <v>2.8288288288288288</v>
      </c>
      <c r="N76" s="12"/>
    </row>
    <row r="77" spans="2:14" s="28" customFormat="1" ht="15" customHeight="1">
      <c r="B77" s="9"/>
      <c r="C77" s="1"/>
      <c r="D77" s="10"/>
      <c r="E77" s="11"/>
      <c r="F77" s="11"/>
      <c r="G77" s="10"/>
      <c r="H77" s="12"/>
      <c r="I77" s="12"/>
      <c r="J77" s="10"/>
      <c r="K77" s="10"/>
      <c r="L77" s="10"/>
      <c r="M77" s="12"/>
      <c r="N77" s="12"/>
    </row>
    <row r="78" spans="2:14" ht="15" customHeight="1">
      <c r="B78" s="30" t="s">
        <v>286</v>
      </c>
    </row>
    <row r="79" spans="2:14" ht="15" customHeight="1">
      <c r="B79" s="19" t="s">
        <v>2</v>
      </c>
      <c r="C79" s="20" t="s">
        <v>3</v>
      </c>
      <c r="D79" s="21" t="s">
        <v>4</v>
      </c>
      <c r="E79" s="22" t="s">
        <v>5</v>
      </c>
      <c r="F79" s="22" t="s">
        <v>6</v>
      </c>
      <c r="G79" s="21" t="s">
        <v>7</v>
      </c>
      <c r="H79" s="23" t="s">
        <v>8</v>
      </c>
      <c r="I79" s="23" t="s">
        <v>9</v>
      </c>
      <c r="J79" s="21" t="s">
        <v>10</v>
      </c>
      <c r="K79" s="21" t="s">
        <v>11</v>
      </c>
      <c r="L79" s="21" t="s">
        <v>12</v>
      </c>
      <c r="M79" s="23" t="s">
        <v>13</v>
      </c>
      <c r="N79" s="8"/>
    </row>
    <row r="80" spans="2:14" ht="15" customHeight="1">
      <c r="B80" s="24">
        <v>2024</v>
      </c>
      <c r="C80" s="18" t="s">
        <v>90</v>
      </c>
      <c r="D80" s="24">
        <v>40</v>
      </c>
      <c r="E80" s="25">
        <v>0.42699999999999999</v>
      </c>
      <c r="F80" s="25">
        <v>0.86699999999999999</v>
      </c>
      <c r="G80" s="24">
        <v>39</v>
      </c>
      <c r="H80" s="26">
        <v>2.6</v>
      </c>
      <c r="I80" s="26">
        <v>6.4</v>
      </c>
      <c r="J80" s="24">
        <v>68</v>
      </c>
      <c r="K80" s="24">
        <v>36</v>
      </c>
      <c r="L80" s="24">
        <v>605</v>
      </c>
      <c r="M80" s="26">
        <f>L80/D80</f>
        <v>15.125</v>
      </c>
      <c r="N80" s="12"/>
    </row>
    <row r="81" spans="2:14" ht="15" customHeight="1">
      <c r="B81" s="27" t="s">
        <v>15</v>
      </c>
      <c r="C81" s="18" t="s">
        <v>20</v>
      </c>
      <c r="D81" s="24">
        <v>292</v>
      </c>
      <c r="E81" s="25">
        <v>0.41899999999999998</v>
      </c>
      <c r="F81" s="25">
        <v>0.85</v>
      </c>
      <c r="G81" s="24">
        <v>363</v>
      </c>
      <c r="H81" s="26">
        <v>2.9</v>
      </c>
      <c r="I81" s="26">
        <v>5.2</v>
      </c>
      <c r="J81" s="24">
        <v>393</v>
      </c>
      <c r="K81" s="24">
        <v>186</v>
      </c>
      <c r="L81" s="24">
        <v>4822</v>
      </c>
      <c r="M81" s="26">
        <f>L81/D81</f>
        <v>16.513698630136986</v>
      </c>
      <c r="N81" s="12"/>
    </row>
    <row r="83" spans="2:14" ht="15" customHeight="1">
      <c r="B83" s="30" t="s">
        <v>287</v>
      </c>
    </row>
    <row r="84" spans="2:14" ht="15" customHeight="1">
      <c r="B84" s="19" t="s">
        <v>2</v>
      </c>
      <c r="C84" s="20" t="s">
        <v>3</v>
      </c>
      <c r="D84" s="21" t="s">
        <v>4</v>
      </c>
      <c r="E84" s="22" t="s">
        <v>5</v>
      </c>
      <c r="F84" s="22" t="s">
        <v>6</v>
      </c>
      <c r="G84" s="21" t="s">
        <v>7</v>
      </c>
      <c r="H84" s="23" t="s">
        <v>8</v>
      </c>
      <c r="I84" s="23" t="s">
        <v>9</v>
      </c>
      <c r="J84" s="21" t="s">
        <v>10</v>
      </c>
      <c r="K84" s="21" t="s">
        <v>11</v>
      </c>
      <c r="L84" s="21" t="s">
        <v>12</v>
      </c>
      <c r="M84" s="23" t="s">
        <v>13</v>
      </c>
      <c r="N84" s="8"/>
    </row>
    <row r="85" spans="2:14" ht="15" customHeight="1">
      <c r="B85" s="24">
        <v>2024</v>
      </c>
      <c r="C85" s="18" t="s">
        <v>90</v>
      </c>
      <c r="D85" s="24">
        <v>39</v>
      </c>
      <c r="E85" s="25">
        <v>0.49299999999999999</v>
      </c>
      <c r="F85" s="25">
        <v>0.72099999999999997</v>
      </c>
      <c r="G85" s="24">
        <v>13</v>
      </c>
      <c r="H85" s="26">
        <v>4.3</v>
      </c>
      <c r="I85" s="26">
        <v>1.8</v>
      </c>
      <c r="J85" s="24">
        <v>50</v>
      </c>
      <c r="K85" s="24">
        <v>26</v>
      </c>
      <c r="L85" s="24">
        <v>266</v>
      </c>
      <c r="M85" s="26">
        <f>L85/D85</f>
        <v>6.8205128205128203</v>
      </c>
      <c r="N85" s="12"/>
    </row>
    <row r="86" spans="2:14" ht="15" customHeight="1">
      <c r="B86" s="27" t="s">
        <v>15</v>
      </c>
      <c r="C86" s="18" t="s">
        <v>38</v>
      </c>
      <c r="D86" s="24">
        <v>75</v>
      </c>
      <c r="E86" s="25">
        <v>0.42399999999999999</v>
      </c>
      <c r="F86" s="25">
        <v>0.71599999999999997</v>
      </c>
      <c r="G86" s="24">
        <v>23</v>
      </c>
      <c r="H86" s="26">
        <v>4.7</v>
      </c>
      <c r="I86" s="26">
        <v>1.7</v>
      </c>
      <c r="J86" s="24">
        <v>94</v>
      </c>
      <c r="K86" s="24">
        <v>47</v>
      </c>
      <c r="L86" s="24">
        <v>515</v>
      </c>
      <c r="M86" s="26">
        <f>L86/D86</f>
        <v>6.8666666666666663</v>
      </c>
      <c r="N86" s="12"/>
    </row>
    <row r="88" spans="2:14" ht="15" customHeight="1">
      <c r="B88" s="30" t="s">
        <v>288</v>
      </c>
    </row>
    <row r="89" spans="2:14" ht="15" customHeight="1">
      <c r="B89" s="19" t="s">
        <v>2</v>
      </c>
      <c r="C89" s="20" t="s">
        <v>3</v>
      </c>
      <c r="D89" s="21" t="s">
        <v>4</v>
      </c>
      <c r="E89" s="22" t="s">
        <v>5</v>
      </c>
      <c r="F89" s="22" t="s">
        <v>6</v>
      </c>
      <c r="G89" s="21" t="s">
        <v>7</v>
      </c>
      <c r="H89" s="23" t="s">
        <v>8</v>
      </c>
      <c r="I89" s="23" t="s">
        <v>9</v>
      </c>
      <c r="J89" s="21" t="s">
        <v>10</v>
      </c>
      <c r="K89" s="21" t="s">
        <v>11</v>
      </c>
      <c r="L89" s="21" t="s">
        <v>12</v>
      </c>
      <c r="M89" s="23" t="s">
        <v>13</v>
      </c>
      <c r="N89" s="8"/>
    </row>
    <row r="90" spans="2:14" ht="15" customHeight="1">
      <c r="B90" s="24">
        <v>2024</v>
      </c>
      <c r="C90" s="18" t="s">
        <v>90</v>
      </c>
      <c r="D90" s="24">
        <v>35</v>
      </c>
      <c r="E90" s="25">
        <v>0.33300000000000002</v>
      </c>
      <c r="F90" s="25">
        <v>0.66700000000000004</v>
      </c>
      <c r="G90" s="24">
        <v>22</v>
      </c>
      <c r="H90" s="26">
        <v>2</v>
      </c>
      <c r="I90" s="26">
        <v>0.8</v>
      </c>
      <c r="J90" s="24">
        <v>13</v>
      </c>
      <c r="K90" s="24">
        <v>7</v>
      </c>
      <c r="L90" s="24">
        <v>110</v>
      </c>
      <c r="M90" s="26">
        <f>L90/D90</f>
        <v>3.1428571428571428</v>
      </c>
      <c r="N90" s="12"/>
    </row>
    <row r="91" spans="2:14" ht="15" customHeight="1">
      <c r="B91" s="27" t="s">
        <v>15</v>
      </c>
      <c r="C91" s="18" t="s">
        <v>71</v>
      </c>
      <c r="D91" s="24">
        <v>179</v>
      </c>
      <c r="E91" s="25">
        <v>0.35699999999999998</v>
      </c>
      <c r="F91" s="25" t="s">
        <v>289</v>
      </c>
      <c r="G91" s="24">
        <v>192</v>
      </c>
      <c r="H91" s="26">
        <v>3</v>
      </c>
      <c r="I91" s="26">
        <v>1.4</v>
      </c>
      <c r="J91" s="24">
        <v>145</v>
      </c>
      <c r="K91" s="24">
        <v>31</v>
      </c>
      <c r="L91" s="24">
        <v>1190</v>
      </c>
      <c r="M91" s="26">
        <f>L91/D91</f>
        <v>6.6480446927374306</v>
      </c>
      <c r="N91" s="12"/>
    </row>
    <row r="92" spans="2:14" ht="15" customHeight="1">
      <c r="D92" s="14"/>
    </row>
    <row r="93" spans="2:14" ht="15" customHeight="1">
      <c r="B93" s="30" t="s">
        <v>290</v>
      </c>
      <c r="N93" s="8"/>
    </row>
    <row r="94" spans="2:14" ht="15" customHeight="1">
      <c r="B94" s="19" t="s">
        <v>2</v>
      </c>
      <c r="C94" s="20" t="s">
        <v>3</v>
      </c>
      <c r="D94" s="21" t="s">
        <v>4</v>
      </c>
      <c r="E94" s="22" t="s">
        <v>5</v>
      </c>
      <c r="F94" s="22" t="s">
        <v>6</v>
      </c>
      <c r="G94" s="21" t="s">
        <v>7</v>
      </c>
      <c r="H94" s="23" t="s">
        <v>8</v>
      </c>
      <c r="I94" s="23" t="s">
        <v>9</v>
      </c>
      <c r="J94" s="21" t="s">
        <v>10</v>
      </c>
      <c r="K94" s="21" t="s">
        <v>11</v>
      </c>
      <c r="L94" s="21" t="s">
        <v>12</v>
      </c>
      <c r="M94" s="23" t="s">
        <v>13</v>
      </c>
      <c r="N94" s="12"/>
    </row>
    <row r="95" spans="2:14" ht="15" customHeight="1">
      <c r="B95" s="24">
        <v>2024</v>
      </c>
      <c r="C95" s="18" t="s">
        <v>90</v>
      </c>
      <c r="D95" s="24">
        <v>16</v>
      </c>
      <c r="E95" s="25">
        <v>7.0999999999999994E-2</v>
      </c>
      <c r="F95" s="25">
        <v>0</v>
      </c>
      <c r="G95" s="24">
        <v>0</v>
      </c>
      <c r="H95" s="26">
        <v>0.6</v>
      </c>
      <c r="I95" s="26">
        <v>0.4</v>
      </c>
      <c r="J95" s="24">
        <v>2</v>
      </c>
      <c r="K95" s="24">
        <v>0</v>
      </c>
      <c r="L95" s="24">
        <v>2</v>
      </c>
      <c r="M95" s="26">
        <f>L95/D95</f>
        <v>0.125</v>
      </c>
      <c r="N95" s="12"/>
    </row>
    <row r="96" spans="2:14" ht="15" customHeight="1">
      <c r="B96" s="27" t="s">
        <v>15</v>
      </c>
      <c r="C96" s="18" t="s">
        <v>40</v>
      </c>
      <c r="D96" s="24">
        <v>16</v>
      </c>
      <c r="E96" s="25">
        <v>7.0999999999999994E-2</v>
      </c>
      <c r="F96" s="25">
        <v>0</v>
      </c>
      <c r="G96" s="24">
        <v>0</v>
      </c>
      <c r="H96" s="26">
        <v>0.6</v>
      </c>
      <c r="I96" s="26">
        <v>0.4</v>
      </c>
      <c r="J96" s="24">
        <v>2</v>
      </c>
      <c r="K96" s="24">
        <v>0</v>
      </c>
      <c r="L96" s="24">
        <v>2</v>
      </c>
      <c r="M96" s="26">
        <f>L96/D96</f>
        <v>0.125</v>
      </c>
      <c r="N96" s="17"/>
    </row>
    <row r="97" spans="2:13" ht="15" customHeight="1">
      <c r="B97" s="15"/>
      <c r="C97" s="5"/>
      <c r="D97" s="5"/>
      <c r="E97" s="16"/>
      <c r="F97" s="16"/>
      <c r="G97" s="5"/>
      <c r="H97" s="17"/>
      <c r="I97" s="17"/>
      <c r="J97" s="5"/>
      <c r="K97" s="5"/>
      <c r="L97" s="17"/>
      <c r="M97" s="17"/>
    </row>
    <row r="98" spans="2:13" ht="15" customHeight="1">
      <c r="B98" s="30" t="s">
        <v>291</v>
      </c>
    </row>
    <row r="99" spans="2:13" ht="15" customHeight="1">
      <c r="B99" s="19" t="s">
        <v>2</v>
      </c>
      <c r="C99" s="20" t="s">
        <v>3</v>
      </c>
      <c r="D99" s="21" t="s">
        <v>4</v>
      </c>
      <c r="E99" s="22" t="s">
        <v>5</v>
      </c>
      <c r="F99" s="22" t="s">
        <v>6</v>
      </c>
      <c r="G99" s="21" t="s">
        <v>7</v>
      </c>
      <c r="H99" s="23" t="s">
        <v>8</v>
      </c>
      <c r="I99" s="23" t="s">
        <v>9</v>
      </c>
      <c r="J99" s="21" t="s">
        <v>10</v>
      </c>
      <c r="K99" s="21" t="s">
        <v>11</v>
      </c>
      <c r="L99" s="21" t="s">
        <v>12</v>
      </c>
      <c r="M99" s="23" t="s">
        <v>13</v>
      </c>
    </row>
    <row r="100" spans="2:13" ht="15" customHeight="1">
      <c r="B100" s="24">
        <v>2024</v>
      </c>
      <c r="C100" s="18" t="s">
        <v>90</v>
      </c>
      <c r="D100" s="24">
        <v>37</v>
      </c>
      <c r="E100" s="25">
        <v>0.51100000000000001</v>
      </c>
      <c r="F100" s="25">
        <v>0.876</v>
      </c>
      <c r="G100" s="24">
        <v>30</v>
      </c>
      <c r="H100" s="26">
        <v>7.6</v>
      </c>
      <c r="I100" s="26">
        <v>2.2999999999999998</v>
      </c>
      <c r="J100" s="24">
        <v>69</v>
      </c>
      <c r="K100" s="24">
        <v>20</v>
      </c>
      <c r="L100" s="24">
        <v>619</v>
      </c>
      <c r="M100" s="26">
        <f>L100/D100</f>
        <v>16.72972972972973</v>
      </c>
    </row>
    <row r="101" spans="2:13" ht="15" customHeight="1">
      <c r="B101" s="27" t="s">
        <v>15</v>
      </c>
      <c r="C101" s="18" t="s">
        <v>162</v>
      </c>
      <c r="D101" s="24">
        <v>393</v>
      </c>
      <c r="E101" s="25">
        <v>0.54200000000000004</v>
      </c>
      <c r="F101" s="25">
        <v>0.55900000000000005</v>
      </c>
      <c r="G101" s="24">
        <v>165</v>
      </c>
      <c r="H101" s="26">
        <v>7.5</v>
      </c>
      <c r="I101" s="26">
        <v>2</v>
      </c>
      <c r="J101" s="24">
        <v>618</v>
      </c>
      <c r="K101" s="24">
        <v>242</v>
      </c>
      <c r="L101" s="24">
        <v>6502</v>
      </c>
      <c r="M101" s="26">
        <f>L101/D101</f>
        <v>16.544529262086513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N96"/>
  <sheetViews>
    <sheetView topLeftCell="A80" zoomScale="120" zoomScaleNormal="120" workbookViewId="0">
      <selection activeCell="B95" sqref="B95"/>
    </sheetView>
  </sheetViews>
  <sheetFormatPr defaultColWidth="45" defaultRowHeight="15" customHeight="1"/>
  <cols>
    <col min="1" max="1" width="2.7109375" style="1" customWidth="1"/>
    <col min="2" max="2" width="17.7109375" style="13" bestFit="1" customWidth="1"/>
    <col min="3" max="3" width="19.140625" style="1" bestFit="1" customWidth="1"/>
    <col min="4" max="4" width="4.28515625" style="1" customWidth="1"/>
    <col min="5" max="5" width="7.42578125" style="2" bestFit="1" customWidth="1"/>
    <col min="6" max="6" width="4.85546875" style="2" bestFit="1" customWidth="1"/>
    <col min="7" max="7" width="4.42578125" style="1" bestFit="1" customWidth="1"/>
    <col min="8" max="8" width="4.140625" style="3" bestFit="1" customWidth="1"/>
    <col min="9" max="9" width="4.28515625" style="3" bestFit="1" customWidth="1"/>
    <col min="10" max="10" width="5.140625" style="1" customWidth="1"/>
    <col min="11" max="11" width="4.42578125" style="1" bestFit="1" customWidth="1"/>
    <col min="12" max="12" width="5.28515625" style="1" bestFit="1" customWidth="1"/>
    <col min="13" max="13" width="4.42578125" style="3" bestFit="1" customWidth="1"/>
    <col min="14" max="14" width="4.42578125" style="3" customWidth="1"/>
    <col min="15" max="16384" width="45" style="1"/>
  </cols>
  <sheetData>
    <row r="1" spans="2:14" ht="15" customHeight="1">
      <c r="B1" s="33" t="s">
        <v>292</v>
      </c>
    </row>
    <row r="3" spans="2:14" ht="15" customHeight="1">
      <c r="B3" s="30" t="s">
        <v>293</v>
      </c>
    </row>
    <row r="4" spans="2:14" ht="15" customHeight="1">
      <c r="B4" s="19" t="s">
        <v>2</v>
      </c>
      <c r="C4" s="20" t="s">
        <v>3</v>
      </c>
      <c r="D4" s="21" t="s">
        <v>4</v>
      </c>
      <c r="E4" s="22" t="s">
        <v>5</v>
      </c>
      <c r="F4" s="22" t="s">
        <v>6</v>
      </c>
      <c r="G4" s="21" t="s">
        <v>7</v>
      </c>
      <c r="H4" s="23" t="s">
        <v>8</v>
      </c>
      <c r="I4" s="23" t="s">
        <v>9</v>
      </c>
      <c r="J4" s="21" t="s">
        <v>10</v>
      </c>
      <c r="K4" s="21" t="s">
        <v>11</v>
      </c>
      <c r="L4" s="21" t="s">
        <v>12</v>
      </c>
      <c r="M4" s="23" t="s">
        <v>13</v>
      </c>
      <c r="N4" s="8"/>
    </row>
    <row r="5" spans="2:14" ht="15" customHeight="1">
      <c r="B5" s="24">
        <v>2023</v>
      </c>
      <c r="C5" s="18" t="s">
        <v>133</v>
      </c>
      <c r="D5" s="24">
        <v>23</v>
      </c>
      <c r="E5" s="25">
        <v>0.48499999999999999</v>
      </c>
      <c r="F5" s="25">
        <v>0.93799999999999994</v>
      </c>
      <c r="G5" s="24">
        <v>24</v>
      </c>
      <c r="H5" s="26">
        <v>5.4</v>
      </c>
      <c r="I5" s="26">
        <v>2.1</v>
      </c>
      <c r="J5" s="24">
        <v>19</v>
      </c>
      <c r="K5" s="24">
        <v>20</v>
      </c>
      <c r="L5" s="24">
        <v>383</v>
      </c>
      <c r="M5" s="26">
        <f>L5/D5</f>
        <v>16.652173913043477</v>
      </c>
      <c r="N5" s="12"/>
    </row>
    <row r="6" spans="2:14" ht="15" customHeight="1">
      <c r="B6" s="27" t="s">
        <v>15</v>
      </c>
      <c r="C6" s="18" t="s">
        <v>20</v>
      </c>
      <c r="D6" s="24">
        <v>241</v>
      </c>
      <c r="E6" s="25">
        <v>0.47499999999999998</v>
      </c>
      <c r="F6" s="25">
        <v>0.93700000000000006</v>
      </c>
      <c r="G6" s="24">
        <v>343</v>
      </c>
      <c r="H6" s="26">
        <v>6.7</v>
      </c>
      <c r="I6" s="26">
        <v>1.9</v>
      </c>
      <c r="J6" s="24">
        <v>175</v>
      </c>
      <c r="K6" s="24">
        <v>347</v>
      </c>
      <c r="L6" s="24">
        <v>4706</v>
      </c>
      <c r="M6" s="26">
        <f>L6/D6</f>
        <v>19.526970954356848</v>
      </c>
      <c r="N6" s="12"/>
    </row>
    <row r="7" spans="2:14" ht="15" customHeight="1">
      <c r="D7" s="14"/>
    </row>
    <row r="8" spans="2:14" ht="15" customHeight="1">
      <c r="B8" s="30" t="s">
        <v>294</v>
      </c>
    </row>
    <row r="9" spans="2:14" ht="15" customHeight="1">
      <c r="B9" s="19" t="s">
        <v>2</v>
      </c>
      <c r="C9" s="20" t="s">
        <v>3</v>
      </c>
      <c r="D9" s="21" t="s">
        <v>4</v>
      </c>
      <c r="E9" s="22" t="s">
        <v>5</v>
      </c>
      <c r="F9" s="22" t="s">
        <v>6</v>
      </c>
      <c r="G9" s="21" t="s">
        <v>7</v>
      </c>
      <c r="H9" s="23" t="s">
        <v>8</v>
      </c>
      <c r="I9" s="23" t="s">
        <v>9</v>
      </c>
      <c r="J9" s="21" t="s">
        <v>10</v>
      </c>
      <c r="K9" s="21" t="s">
        <v>11</v>
      </c>
      <c r="L9" s="21" t="s">
        <v>12</v>
      </c>
      <c r="M9" s="23" t="s">
        <v>13</v>
      </c>
      <c r="N9" s="8"/>
    </row>
    <row r="10" spans="2:14" ht="15" customHeight="1">
      <c r="B10" s="24">
        <v>2019</v>
      </c>
      <c r="C10" s="18" t="s">
        <v>133</v>
      </c>
      <c r="D10" s="24">
        <v>34</v>
      </c>
      <c r="E10" s="25">
        <v>0.50600000000000001</v>
      </c>
      <c r="F10" s="25">
        <v>0.89200000000000002</v>
      </c>
      <c r="G10" s="24">
        <v>0</v>
      </c>
      <c r="H10" s="26">
        <v>5.5</v>
      </c>
      <c r="I10" s="26">
        <v>1.9</v>
      </c>
      <c r="J10" s="24">
        <v>30</v>
      </c>
      <c r="K10" s="24">
        <v>47</v>
      </c>
      <c r="L10" s="24">
        <v>207</v>
      </c>
      <c r="M10" s="26">
        <f>L10/D10</f>
        <v>6.0882352941176467</v>
      </c>
      <c r="N10" s="12"/>
    </row>
    <row r="11" spans="2:14" ht="15" customHeight="1">
      <c r="B11" s="27" t="s">
        <v>15</v>
      </c>
      <c r="C11" s="18" t="s">
        <v>18</v>
      </c>
      <c r="D11" s="24">
        <v>155</v>
      </c>
      <c r="E11" s="25">
        <v>0.503</v>
      </c>
      <c r="F11" s="25">
        <v>0.84</v>
      </c>
      <c r="G11" s="24">
        <v>1</v>
      </c>
      <c r="H11" s="26">
        <v>4.5</v>
      </c>
      <c r="I11" s="26">
        <v>1</v>
      </c>
      <c r="J11" s="24">
        <v>107</v>
      </c>
      <c r="K11" s="24">
        <v>207</v>
      </c>
      <c r="L11" s="24">
        <v>879</v>
      </c>
      <c r="M11" s="26">
        <f>L11/D11</f>
        <v>5.6709677419354838</v>
      </c>
      <c r="N11" s="12"/>
    </row>
    <row r="12" spans="2:14" s="28" customFormat="1" ht="15" customHeight="1">
      <c r="B12" s="9"/>
      <c r="C12" s="1"/>
      <c r="D12" s="10"/>
      <c r="E12" s="11"/>
      <c r="F12" s="11"/>
      <c r="G12" s="10"/>
      <c r="H12" s="12"/>
      <c r="I12" s="12"/>
      <c r="J12" s="10"/>
      <c r="K12" s="10"/>
      <c r="L12" s="10"/>
      <c r="M12" s="12"/>
      <c r="N12" s="12"/>
    </row>
    <row r="13" spans="2:14" ht="15" customHeight="1">
      <c r="B13" s="30" t="s">
        <v>295</v>
      </c>
    </row>
    <row r="14" spans="2:14" ht="15" customHeight="1">
      <c r="B14" s="19" t="s">
        <v>2</v>
      </c>
      <c r="C14" s="20" t="s">
        <v>3</v>
      </c>
      <c r="D14" s="21" t="s">
        <v>4</v>
      </c>
      <c r="E14" s="22" t="s">
        <v>5</v>
      </c>
      <c r="F14" s="22" t="s">
        <v>6</v>
      </c>
      <c r="G14" s="21" t="s">
        <v>7</v>
      </c>
      <c r="H14" s="23" t="s">
        <v>8</v>
      </c>
      <c r="I14" s="23" t="s">
        <v>9</v>
      </c>
      <c r="J14" s="21" t="s">
        <v>10</v>
      </c>
      <c r="K14" s="21" t="s">
        <v>11</v>
      </c>
      <c r="L14" s="21" t="s">
        <v>12</v>
      </c>
      <c r="M14" s="23" t="s">
        <v>13</v>
      </c>
      <c r="N14" s="8"/>
    </row>
    <row r="15" spans="2:14" ht="15" customHeight="1">
      <c r="B15" s="24">
        <v>2024</v>
      </c>
      <c r="C15" s="18" t="s">
        <v>133</v>
      </c>
      <c r="D15" s="24">
        <v>40</v>
      </c>
      <c r="E15" s="25">
        <v>0.437</v>
      </c>
      <c r="F15" s="25">
        <v>0.84799999999999998</v>
      </c>
      <c r="G15" s="24">
        <v>79</v>
      </c>
      <c r="H15" s="26">
        <v>3.4</v>
      </c>
      <c r="I15" s="26">
        <v>3.1</v>
      </c>
      <c r="J15" s="24">
        <v>59</v>
      </c>
      <c r="K15" s="24">
        <v>17</v>
      </c>
      <c r="L15" s="24">
        <v>597</v>
      </c>
      <c r="M15" s="26">
        <f>L15/D15</f>
        <v>14.925000000000001</v>
      </c>
      <c r="N15" s="12"/>
    </row>
    <row r="16" spans="2:14" ht="15" customHeight="1">
      <c r="B16" s="27" t="s">
        <v>15</v>
      </c>
      <c r="C16" s="18" t="s">
        <v>18</v>
      </c>
      <c r="D16" s="24">
        <v>217</v>
      </c>
      <c r="E16" s="25">
        <v>0.42299999999999999</v>
      </c>
      <c r="F16" s="25">
        <v>0.84899999999999998</v>
      </c>
      <c r="G16" s="24">
        <v>397</v>
      </c>
      <c r="H16" s="26">
        <v>3</v>
      </c>
      <c r="I16" s="26">
        <v>2.4</v>
      </c>
      <c r="J16" s="24">
        <v>313</v>
      </c>
      <c r="K16" s="24">
        <v>83</v>
      </c>
      <c r="L16" s="24">
        <v>2914</v>
      </c>
      <c r="M16" s="26">
        <f>L16/D16</f>
        <v>13.428571428571429</v>
      </c>
      <c r="N16" s="12"/>
    </row>
    <row r="17" spans="2:14" s="28" customFormat="1" ht="15" customHeight="1">
      <c r="B17" s="9"/>
      <c r="C17" s="1"/>
      <c r="D17" s="10"/>
      <c r="E17" s="11"/>
      <c r="F17" s="11"/>
      <c r="G17" s="10"/>
      <c r="H17" s="12"/>
      <c r="I17" s="12"/>
      <c r="J17" s="10"/>
      <c r="K17" s="10"/>
      <c r="L17" s="10"/>
      <c r="M17" s="12"/>
      <c r="N17" s="12"/>
    </row>
    <row r="18" spans="2:14" ht="15" customHeight="1">
      <c r="B18" s="30" t="s">
        <v>296</v>
      </c>
    </row>
    <row r="19" spans="2:14" ht="15" customHeight="1">
      <c r="B19" s="19" t="s">
        <v>2</v>
      </c>
      <c r="C19" s="20" t="s">
        <v>3</v>
      </c>
      <c r="D19" s="21" t="s">
        <v>4</v>
      </c>
      <c r="E19" s="22" t="s">
        <v>5</v>
      </c>
      <c r="F19" s="22" t="s">
        <v>6</v>
      </c>
      <c r="G19" s="21" t="s">
        <v>7</v>
      </c>
      <c r="H19" s="23" t="s">
        <v>8</v>
      </c>
      <c r="I19" s="23" t="s">
        <v>9</v>
      </c>
      <c r="J19" s="21" t="s">
        <v>10</v>
      </c>
      <c r="K19" s="21" t="s">
        <v>11</v>
      </c>
      <c r="L19" s="21" t="s">
        <v>12</v>
      </c>
      <c r="M19" s="23" t="s">
        <v>13</v>
      </c>
      <c r="N19" s="8"/>
    </row>
    <row r="20" spans="2:14" ht="15" customHeight="1">
      <c r="B20" s="24">
        <v>2021</v>
      </c>
      <c r="C20" s="18" t="s">
        <v>133</v>
      </c>
      <c r="D20" s="24">
        <v>31</v>
      </c>
      <c r="E20" s="25">
        <v>0.36</v>
      </c>
      <c r="F20" s="25">
        <v>0.82599999999999996</v>
      </c>
      <c r="G20" s="24">
        <v>50</v>
      </c>
      <c r="H20" s="26">
        <v>2</v>
      </c>
      <c r="I20" s="26">
        <v>2.5</v>
      </c>
      <c r="J20" s="24">
        <v>15</v>
      </c>
      <c r="K20" s="24">
        <v>2</v>
      </c>
      <c r="L20" s="24">
        <v>197</v>
      </c>
      <c r="M20" s="26">
        <f>L20/D20</f>
        <v>6.354838709677419</v>
      </c>
      <c r="N20" s="12"/>
    </row>
    <row r="21" spans="2:14" ht="15" customHeight="1">
      <c r="B21" s="27" t="s">
        <v>15</v>
      </c>
      <c r="C21" s="18" t="s">
        <v>42</v>
      </c>
      <c r="D21" s="24">
        <v>398</v>
      </c>
      <c r="E21" s="25">
        <v>0.39500000000000002</v>
      </c>
      <c r="F21" s="25">
        <v>0.83399999999999996</v>
      </c>
      <c r="G21" s="24">
        <v>508</v>
      </c>
      <c r="H21" s="26">
        <v>2.1</v>
      </c>
      <c r="I21" s="26">
        <v>3</v>
      </c>
      <c r="J21" s="24">
        <v>331</v>
      </c>
      <c r="K21" s="24">
        <v>56</v>
      </c>
      <c r="L21" s="24">
        <v>2618</v>
      </c>
      <c r="M21" s="26">
        <f>L21/D21</f>
        <v>6.5778894472361813</v>
      </c>
      <c r="N21" s="12"/>
    </row>
    <row r="22" spans="2:14" ht="15" customHeight="1">
      <c r="B22" s="9"/>
      <c r="D22" s="10"/>
      <c r="E22" s="11"/>
      <c r="F22" s="11"/>
      <c r="G22" s="10"/>
      <c r="H22" s="12"/>
      <c r="I22" s="12"/>
      <c r="J22" s="10"/>
      <c r="K22" s="10"/>
      <c r="L22" s="10"/>
      <c r="M22" s="12"/>
      <c r="N22" s="12"/>
    </row>
    <row r="23" spans="2:14" ht="15" customHeight="1">
      <c r="B23" s="30" t="s">
        <v>297</v>
      </c>
    </row>
    <row r="24" spans="2:14" ht="15" customHeight="1">
      <c r="B24" s="19" t="s">
        <v>2</v>
      </c>
      <c r="C24" s="20" t="s">
        <v>3</v>
      </c>
      <c r="D24" s="21" t="s">
        <v>4</v>
      </c>
      <c r="E24" s="22" t="s">
        <v>5</v>
      </c>
      <c r="F24" s="22" t="s">
        <v>6</v>
      </c>
      <c r="G24" s="21" t="s">
        <v>7</v>
      </c>
      <c r="H24" s="23" t="s">
        <v>8</v>
      </c>
      <c r="I24" s="23" t="s">
        <v>9</v>
      </c>
      <c r="J24" s="21" t="s">
        <v>10</v>
      </c>
      <c r="K24" s="21" t="s">
        <v>11</v>
      </c>
      <c r="L24" s="21" t="s">
        <v>12</v>
      </c>
      <c r="M24" s="23" t="s">
        <v>13</v>
      </c>
      <c r="N24" s="8"/>
    </row>
    <row r="25" spans="2:14" ht="15" customHeight="1">
      <c r="B25" s="24">
        <v>2022</v>
      </c>
      <c r="C25" s="18" t="s">
        <v>58</v>
      </c>
      <c r="D25" s="24">
        <v>36</v>
      </c>
      <c r="E25" s="25">
        <v>0.57099999999999995</v>
      </c>
      <c r="F25" s="25">
        <v>0.88700000000000001</v>
      </c>
      <c r="G25" s="24">
        <v>13</v>
      </c>
      <c r="H25" s="26">
        <v>5.5</v>
      </c>
      <c r="I25" s="26">
        <v>3.8</v>
      </c>
      <c r="J25" s="24">
        <v>50</v>
      </c>
      <c r="K25" s="24">
        <v>30</v>
      </c>
      <c r="L25" s="24">
        <v>448</v>
      </c>
      <c r="M25" s="26">
        <f>L25/D25</f>
        <v>12.444444444444445</v>
      </c>
      <c r="N25" s="12"/>
    </row>
    <row r="26" spans="2:14" ht="15" customHeight="1">
      <c r="B26" s="27" t="s">
        <v>15</v>
      </c>
      <c r="C26" s="18" t="s">
        <v>25</v>
      </c>
      <c r="D26" s="24">
        <v>238</v>
      </c>
      <c r="E26" s="25">
        <v>0.52200000000000002</v>
      </c>
      <c r="F26" s="25">
        <v>0.85399999999999998</v>
      </c>
      <c r="G26" s="24">
        <v>95</v>
      </c>
      <c r="H26" s="26">
        <v>5.3</v>
      </c>
      <c r="I26" s="26">
        <v>2.6</v>
      </c>
      <c r="J26" s="24">
        <v>255</v>
      </c>
      <c r="K26" s="24">
        <v>223</v>
      </c>
      <c r="L26" s="24">
        <v>2738</v>
      </c>
      <c r="M26" s="26">
        <f>L26/D26</f>
        <v>11.504201680672269</v>
      </c>
      <c r="N26" s="12"/>
    </row>
    <row r="27" spans="2:14" ht="15" customHeight="1">
      <c r="B27" s="9"/>
      <c r="D27" s="10"/>
      <c r="E27" s="11"/>
      <c r="F27" s="11"/>
      <c r="G27" s="10"/>
      <c r="H27" s="12"/>
      <c r="I27" s="12"/>
      <c r="J27" s="10"/>
      <c r="K27" s="10"/>
      <c r="L27" s="10"/>
      <c r="M27" s="12"/>
      <c r="N27" s="12"/>
    </row>
    <row r="28" spans="2:14" ht="15" customHeight="1">
      <c r="B28" s="30" t="s">
        <v>298</v>
      </c>
    </row>
    <row r="29" spans="2:14" ht="15" customHeight="1">
      <c r="B29" s="19" t="s">
        <v>2</v>
      </c>
      <c r="C29" s="20" t="s">
        <v>3</v>
      </c>
      <c r="D29" s="21" t="s">
        <v>4</v>
      </c>
      <c r="E29" s="22" t="s">
        <v>5</v>
      </c>
      <c r="F29" s="22" t="s">
        <v>6</v>
      </c>
      <c r="G29" s="21" t="s">
        <v>7</v>
      </c>
      <c r="H29" s="23" t="s">
        <v>8</v>
      </c>
      <c r="I29" s="23" t="s">
        <v>9</v>
      </c>
      <c r="J29" s="21" t="s">
        <v>10</v>
      </c>
      <c r="K29" s="21" t="s">
        <v>11</v>
      </c>
      <c r="L29" s="21" t="s">
        <v>12</v>
      </c>
      <c r="M29" s="23" t="s">
        <v>13</v>
      </c>
      <c r="N29" s="8"/>
    </row>
    <row r="30" spans="2:14" ht="15" customHeight="1">
      <c r="B30" s="24">
        <v>2021</v>
      </c>
      <c r="C30" s="18" t="s">
        <v>133</v>
      </c>
      <c r="D30" s="24">
        <v>27</v>
      </c>
      <c r="E30" s="25">
        <v>0.32300000000000001</v>
      </c>
      <c r="F30" s="25">
        <v>0.77800000000000002</v>
      </c>
      <c r="G30" s="24">
        <v>23</v>
      </c>
      <c r="H30" s="26">
        <v>1.3</v>
      </c>
      <c r="I30" s="26">
        <v>1.6</v>
      </c>
      <c r="J30" s="24">
        <v>10</v>
      </c>
      <c r="K30" s="24">
        <v>0</v>
      </c>
      <c r="L30" s="24">
        <v>119</v>
      </c>
      <c r="M30" s="26">
        <f>L30/D30</f>
        <v>4.4074074074074074</v>
      </c>
      <c r="N30" s="12"/>
    </row>
    <row r="31" spans="2:14" ht="15" customHeight="1">
      <c r="B31" s="27" t="s">
        <v>15</v>
      </c>
      <c r="C31" s="18" t="s">
        <v>33</v>
      </c>
      <c r="D31" s="24">
        <v>117</v>
      </c>
      <c r="E31" s="25">
        <v>0.38900000000000001</v>
      </c>
      <c r="F31" s="25">
        <v>0.80900000000000005</v>
      </c>
      <c r="G31" s="24">
        <v>96</v>
      </c>
      <c r="H31" s="26">
        <v>1.2</v>
      </c>
      <c r="I31" s="26">
        <v>1.1000000000000001</v>
      </c>
      <c r="J31" s="24">
        <v>41</v>
      </c>
      <c r="K31" s="24">
        <v>13</v>
      </c>
      <c r="L31" s="24">
        <v>466</v>
      </c>
      <c r="M31" s="26">
        <f>L31/D31</f>
        <v>3.982905982905983</v>
      </c>
      <c r="N31" s="12"/>
    </row>
    <row r="33" spans="2:14" ht="15" customHeight="1">
      <c r="B33" s="30" t="s">
        <v>299</v>
      </c>
    </row>
    <row r="34" spans="2:14" ht="15" customHeight="1">
      <c r="B34" s="19" t="s">
        <v>2</v>
      </c>
      <c r="C34" s="20" t="s">
        <v>3</v>
      </c>
      <c r="D34" s="21" t="s">
        <v>4</v>
      </c>
      <c r="E34" s="22" t="s">
        <v>5</v>
      </c>
      <c r="F34" s="22" t="s">
        <v>6</v>
      </c>
      <c r="G34" s="21" t="s">
        <v>7</v>
      </c>
      <c r="H34" s="23" t="s">
        <v>8</v>
      </c>
      <c r="I34" s="23" t="s">
        <v>9</v>
      </c>
      <c r="J34" s="21" t="s">
        <v>10</v>
      </c>
      <c r="K34" s="21" t="s">
        <v>11</v>
      </c>
      <c r="L34" s="21" t="s">
        <v>12</v>
      </c>
      <c r="M34" s="23" t="s">
        <v>13</v>
      </c>
      <c r="N34" s="8"/>
    </row>
    <row r="35" spans="2:14" ht="15" customHeight="1">
      <c r="B35" s="24">
        <v>2022</v>
      </c>
      <c r="C35" s="18" t="s">
        <v>133</v>
      </c>
      <c r="D35" s="24">
        <v>35</v>
      </c>
      <c r="E35" s="25">
        <v>0.40200000000000002</v>
      </c>
      <c r="F35" s="25">
        <v>0.90200000000000002</v>
      </c>
      <c r="G35" s="24">
        <v>26</v>
      </c>
      <c r="H35" s="26">
        <v>1.8</v>
      </c>
      <c r="I35" s="26">
        <v>1.5</v>
      </c>
      <c r="J35" s="24">
        <v>37</v>
      </c>
      <c r="K35" s="24">
        <v>10</v>
      </c>
      <c r="L35" s="24">
        <v>241</v>
      </c>
      <c r="M35" s="26">
        <f>L35/D35</f>
        <v>6.8857142857142861</v>
      </c>
      <c r="N35" s="12"/>
    </row>
    <row r="36" spans="2:14" ht="15" customHeight="1">
      <c r="B36" s="27" t="s">
        <v>15</v>
      </c>
      <c r="C36" s="18" t="s">
        <v>71</v>
      </c>
      <c r="D36" s="24">
        <v>153</v>
      </c>
      <c r="E36" s="25">
        <v>0.42299999999999999</v>
      </c>
      <c r="F36" s="25">
        <v>0.9</v>
      </c>
      <c r="G36" s="24">
        <v>96</v>
      </c>
      <c r="H36" s="26">
        <v>1.4</v>
      </c>
      <c r="I36" s="26">
        <v>1.1000000000000001</v>
      </c>
      <c r="J36" s="24">
        <v>122</v>
      </c>
      <c r="K36" s="24">
        <v>41</v>
      </c>
      <c r="L36" s="24">
        <v>924</v>
      </c>
      <c r="M36" s="26">
        <f>L36/D36</f>
        <v>6.0392156862745097</v>
      </c>
      <c r="N36" s="12"/>
    </row>
    <row r="38" spans="2:14" ht="15" customHeight="1">
      <c r="B38" s="30" t="s">
        <v>300</v>
      </c>
    </row>
    <row r="39" spans="2:14" ht="15" customHeight="1">
      <c r="B39" s="19" t="s">
        <v>2</v>
      </c>
      <c r="C39" s="20" t="s">
        <v>3</v>
      </c>
      <c r="D39" s="21" t="s">
        <v>4</v>
      </c>
      <c r="E39" s="22" t="s">
        <v>5</v>
      </c>
      <c r="F39" s="22" t="s">
        <v>6</v>
      </c>
      <c r="G39" s="21" t="s">
        <v>7</v>
      </c>
      <c r="H39" s="23" t="s">
        <v>8</v>
      </c>
      <c r="I39" s="23" t="s">
        <v>9</v>
      </c>
      <c r="J39" s="21" t="s">
        <v>10</v>
      </c>
      <c r="K39" s="21" t="s">
        <v>11</v>
      </c>
      <c r="L39" s="21" t="s">
        <v>12</v>
      </c>
      <c r="M39" s="23" t="s">
        <v>13</v>
      </c>
      <c r="N39" s="8"/>
    </row>
    <row r="40" spans="2:14" ht="15" customHeight="1">
      <c r="B40" s="24">
        <v>2021</v>
      </c>
      <c r="C40" s="18" t="s">
        <v>133</v>
      </c>
      <c r="D40" s="24">
        <v>28</v>
      </c>
      <c r="E40" s="25">
        <v>0.377</v>
      </c>
      <c r="F40" s="25">
        <v>0.80600000000000005</v>
      </c>
      <c r="G40" s="24">
        <v>10</v>
      </c>
      <c r="H40" s="26">
        <v>2.4</v>
      </c>
      <c r="I40" s="26">
        <v>1.6</v>
      </c>
      <c r="J40" s="24">
        <v>11</v>
      </c>
      <c r="K40" s="24">
        <v>6</v>
      </c>
      <c r="L40" s="24">
        <v>121</v>
      </c>
      <c r="M40" s="26">
        <f>L40/D40</f>
        <v>4.3214285714285712</v>
      </c>
      <c r="N40" s="12"/>
    </row>
    <row r="41" spans="2:14" ht="15" customHeight="1">
      <c r="B41" s="27" t="s">
        <v>15</v>
      </c>
      <c r="C41" s="18" t="s">
        <v>162</v>
      </c>
      <c r="D41" s="24">
        <v>363</v>
      </c>
      <c r="E41" s="25">
        <v>0.39800000000000002</v>
      </c>
      <c r="F41" s="25">
        <v>0.80100000000000005</v>
      </c>
      <c r="G41" s="24">
        <v>167</v>
      </c>
      <c r="H41" s="26">
        <v>2.7</v>
      </c>
      <c r="I41" s="26">
        <v>1.9</v>
      </c>
      <c r="J41" s="24">
        <v>241</v>
      </c>
      <c r="K41" s="24">
        <v>139</v>
      </c>
      <c r="L41" s="24">
        <v>3103</v>
      </c>
      <c r="M41" s="26">
        <f>L41/D41</f>
        <v>8.548209366391184</v>
      </c>
      <c r="N41" s="12"/>
    </row>
    <row r="42" spans="2:14" ht="15" customHeight="1">
      <c r="D42" s="14"/>
    </row>
    <row r="43" spans="2:14" ht="15" customHeight="1">
      <c r="B43" s="30" t="s">
        <v>301</v>
      </c>
    </row>
    <row r="44" spans="2:14" ht="15" customHeight="1">
      <c r="B44" s="19" t="s">
        <v>2</v>
      </c>
      <c r="C44" s="20" t="s">
        <v>3</v>
      </c>
      <c r="D44" s="21" t="s">
        <v>4</v>
      </c>
      <c r="E44" s="22" t="s">
        <v>5</v>
      </c>
      <c r="F44" s="22" t="s">
        <v>6</v>
      </c>
      <c r="G44" s="21" t="s">
        <v>7</v>
      </c>
      <c r="H44" s="23" t="s">
        <v>8</v>
      </c>
      <c r="I44" s="23" t="s">
        <v>9</v>
      </c>
      <c r="J44" s="21" t="s">
        <v>10</v>
      </c>
      <c r="K44" s="21" t="s">
        <v>11</v>
      </c>
      <c r="L44" s="21" t="s">
        <v>12</v>
      </c>
      <c r="M44" s="23" t="s">
        <v>13</v>
      </c>
      <c r="N44" s="8"/>
    </row>
    <row r="45" spans="2:14" ht="15" customHeight="1">
      <c r="B45" s="24">
        <v>2021</v>
      </c>
      <c r="C45" s="18" t="s">
        <v>133</v>
      </c>
      <c r="D45" s="24">
        <v>23</v>
      </c>
      <c r="E45" s="25">
        <v>0.5</v>
      </c>
      <c r="F45" s="25">
        <v>0.625</v>
      </c>
      <c r="G45" s="24">
        <v>0</v>
      </c>
      <c r="H45" s="26">
        <v>4.3</v>
      </c>
      <c r="I45" s="26">
        <v>0.6</v>
      </c>
      <c r="J45" s="24">
        <v>7</v>
      </c>
      <c r="K45" s="24">
        <v>9</v>
      </c>
      <c r="L45" s="24">
        <v>94</v>
      </c>
      <c r="M45" s="26">
        <f>L45/D45</f>
        <v>4.0869565217391308</v>
      </c>
      <c r="N45" s="12"/>
    </row>
    <row r="46" spans="2:14" ht="15" customHeight="1">
      <c r="B46" s="27" t="s">
        <v>15</v>
      </c>
      <c r="C46" s="18" t="s">
        <v>33</v>
      </c>
      <c r="D46" s="24">
        <v>122</v>
      </c>
      <c r="E46" s="25">
        <v>0.39600000000000002</v>
      </c>
      <c r="F46" s="25">
        <v>0.71799999999999997</v>
      </c>
      <c r="G46" s="24">
        <v>3</v>
      </c>
      <c r="H46" s="26">
        <v>2.8</v>
      </c>
      <c r="I46" s="26">
        <v>0.3</v>
      </c>
      <c r="J46" s="24">
        <v>31</v>
      </c>
      <c r="K46" s="24">
        <v>47</v>
      </c>
      <c r="L46" s="24">
        <v>355</v>
      </c>
      <c r="M46" s="26">
        <f>L46/D46</f>
        <v>2.9098360655737703</v>
      </c>
      <c r="N46" s="12"/>
    </row>
    <row r="47" spans="2:14" ht="15" customHeight="1">
      <c r="B47" s="29"/>
    </row>
    <row r="48" spans="2:14" ht="15" customHeight="1">
      <c r="B48" s="30" t="s">
        <v>302</v>
      </c>
    </row>
    <row r="49" spans="2:14" ht="15" customHeight="1">
      <c r="B49" s="19" t="s">
        <v>2</v>
      </c>
      <c r="C49" s="20" t="s">
        <v>3</v>
      </c>
      <c r="D49" s="21" t="s">
        <v>4</v>
      </c>
      <c r="E49" s="22" t="s">
        <v>5</v>
      </c>
      <c r="F49" s="22" t="s">
        <v>6</v>
      </c>
      <c r="G49" s="21" t="s">
        <v>7</v>
      </c>
      <c r="H49" s="23" t="s">
        <v>8</v>
      </c>
      <c r="I49" s="23" t="s">
        <v>9</v>
      </c>
      <c r="J49" s="21" t="s">
        <v>10</v>
      </c>
      <c r="K49" s="21" t="s">
        <v>11</v>
      </c>
      <c r="L49" s="21" t="s">
        <v>12</v>
      </c>
      <c r="M49" s="23" t="s">
        <v>13</v>
      </c>
      <c r="N49" s="8"/>
    </row>
    <row r="50" spans="2:14" ht="15" customHeight="1">
      <c r="B50" s="24">
        <v>2022</v>
      </c>
      <c r="C50" s="18" t="s">
        <v>133</v>
      </c>
      <c r="D50" s="24">
        <v>36</v>
      </c>
      <c r="E50" s="25">
        <v>0.31</v>
      </c>
      <c r="F50" s="25">
        <v>0.66700000000000004</v>
      </c>
      <c r="G50" s="24">
        <v>7</v>
      </c>
      <c r="H50" s="26">
        <v>1.1000000000000001</v>
      </c>
      <c r="I50" s="26">
        <v>2.6</v>
      </c>
      <c r="J50" s="24">
        <v>16</v>
      </c>
      <c r="K50" s="24">
        <v>2</v>
      </c>
      <c r="L50" s="24">
        <v>65</v>
      </c>
      <c r="M50" s="26">
        <f>L50/D50</f>
        <v>1.8055555555555556</v>
      </c>
      <c r="N50" s="12"/>
    </row>
    <row r="51" spans="2:14" ht="15" customHeight="1">
      <c r="B51" s="27" t="s">
        <v>15</v>
      </c>
      <c r="C51" s="18" t="s">
        <v>40</v>
      </c>
      <c r="D51" s="24">
        <v>36</v>
      </c>
      <c r="E51" s="25">
        <v>0.31</v>
      </c>
      <c r="F51" s="25">
        <v>0.66700000000000004</v>
      </c>
      <c r="G51" s="24">
        <v>7</v>
      </c>
      <c r="H51" s="26">
        <v>1.1000000000000001</v>
      </c>
      <c r="I51" s="26">
        <v>2.6</v>
      </c>
      <c r="J51" s="24">
        <v>16</v>
      </c>
      <c r="K51" s="24">
        <v>2</v>
      </c>
      <c r="L51" s="24">
        <v>65</v>
      </c>
      <c r="M51" s="26">
        <f>L51/D51</f>
        <v>1.8055555555555556</v>
      </c>
      <c r="N51" s="12"/>
    </row>
    <row r="52" spans="2:14" ht="15" customHeight="1">
      <c r="B52" s="29"/>
    </row>
    <row r="53" spans="2:14" ht="15" customHeight="1">
      <c r="B53" s="30" t="s">
        <v>303</v>
      </c>
    </row>
    <row r="54" spans="2:14" ht="15" customHeight="1">
      <c r="B54" s="19" t="s">
        <v>2</v>
      </c>
      <c r="C54" s="20" t="s">
        <v>3</v>
      </c>
      <c r="D54" s="21" t="s">
        <v>4</v>
      </c>
      <c r="E54" s="22" t="s">
        <v>5</v>
      </c>
      <c r="F54" s="22" t="s">
        <v>6</v>
      </c>
      <c r="G54" s="21" t="s">
        <v>7</v>
      </c>
      <c r="H54" s="23" t="s">
        <v>8</v>
      </c>
      <c r="I54" s="23" t="s">
        <v>9</v>
      </c>
      <c r="J54" s="21" t="s">
        <v>10</v>
      </c>
      <c r="K54" s="21" t="s">
        <v>11</v>
      </c>
      <c r="L54" s="21" t="s">
        <v>12</v>
      </c>
      <c r="M54" s="23" t="s">
        <v>13</v>
      </c>
      <c r="N54" s="8"/>
    </row>
    <row r="55" spans="2:14" ht="15" customHeight="1">
      <c r="B55" s="24">
        <v>2022</v>
      </c>
      <c r="C55" s="18" t="s">
        <v>304</v>
      </c>
      <c r="D55" s="24">
        <v>8</v>
      </c>
      <c r="E55" s="25">
        <v>0.25</v>
      </c>
      <c r="F55" s="25">
        <v>0.4</v>
      </c>
      <c r="G55" s="24">
        <v>0</v>
      </c>
      <c r="H55" s="26">
        <v>0.3</v>
      </c>
      <c r="I55" s="26">
        <v>0.1</v>
      </c>
      <c r="J55" s="24">
        <v>2</v>
      </c>
      <c r="K55" s="24">
        <v>0</v>
      </c>
      <c r="L55" s="24">
        <v>6</v>
      </c>
      <c r="M55" s="26">
        <f>L55/D55</f>
        <v>0.75</v>
      </c>
      <c r="N55" s="12"/>
    </row>
    <row r="56" spans="2:14" ht="15" customHeight="1">
      <c r="B56" s="27" t="s">
        <v>15</v>
      </c>
      <c r="C56" s="18" t="s">
        <v>23</v>
      </c>
      <c r="D56" s="24">
        <v>55</v>
      </c>
      <c r="E56" s="25">
        <v>0.378</v>
      </c>
      <c r="F56" s="25">
        <v>0.76300000000000001</v>
      </c>
      <c r="G56" s="24">
        <v>33</v>
      </c>
      <c r="H56" s="26">
        <v>2.7</v>
      </c>
      <c r="I56" s="26">
        <v>1.4</v>
      </c>
      <c r="J56" s="24">
        <v>44</v>
      </c>
      <c r="K56" s="24">
        <v>19</v>
      </c>
      <c r="L56" s="24">
        <v>381</v>
      </c>
      <c r="M56" s="26">
        <f>L56/D56</f>
        <v>6.9272727272727277</v>
      </c>
      <c r="N56" s="12"/>
    </row>
    <row r="57" spans="2:14" ht="15" customHeight="1">
      <c r="B57" s="9"/>
      <c r="D57" s="10"/>
      <c r="E57" s="11"/>
      <c r="F57" s="11"/>
      <c r="G57" s="10"/>
      <c r="H57" s="12"/>
      <c r="I57" s="12"/>
      <c r="J57" s="10"/>
      <c r="K57" s="10"/>
      <c r="L57" s="10"/>
      <c r="M57" s="12"/>
      <c r="N57" s="12"/>
    </row>
    <row r="58" spans="2:14" ht="15" customHeight="1">
      <c r="B58" s="30" t="s">
        <v>305</v>
      </c>
    </row>
    <row r="59" spans="2:14" ht="15" customHeight="1">
      <c r="B59" s="19" t="s">
        <v>2</v>
      </c>
      <c r="C59" s="20" t="s">
        <v>3</v>
      </c>
      <c r="D59" s="21" t="s">
        <v>4</v>
      </c>
      <c r="E59" s="22" t="s">
        <v>5</v>
      </c>
      <c r="F59" s="22" t="s">
        <v>6</v>
      </c>
      <c r="G59" s="21" t="s">
        <v>7</v>
      </c>
      <c r="H59" s="23" t="s">
        <v>8</v>
      </c>
      <c r="I59" s="23" t="s">
        <v>9</v>
      </c>
      <c r="J59" s="21" t="s">
        <v>10</v>
      </c>
      <c r="K59" s="21" t="s">
        <v>11</v>
      </c>
      <c r="L59" s="21" t="s">
        <v>12</v>
      </c>
      <c r="M59" s="23" t="s">
        <v>13</v>
      </c>
      <c r="N59" s="8"/>
    </row>
    <row r="60" spans="2:14" ht="15" customHeight="1">
      <c r="B60" s="24">
        <v>2023</v>
      </c>
      <c r="C60" s="18" t="s">
        <v>133</v>
      </c>
      <c r="D60" s="24">
        <v>11</v>
      </c>
      <c r="E60" s="25">
        <v>0.33300000000000002</v>
      </c>
      <c r="F60" s="25">
        <v>0.8</v>
      </c>
      <c r="G60" s="24">
        <v>10</v>
      </c>
      <c r="H60" s="26">
        <v>0.7</v>
      </c>
      <c r="I60" s="26">
        <v>0.7</v>
      </c>
      <c r="J60" s="24">
        <v>3</v>
      </c>
      <c r="K60" s="24">
        <v>0</v>
      </c>
      <c r="L60" s="24">
        <v>40</v>
      </c>
      <c r="M60" s="26">
        <f>L60/D60</f>
        <v>3.6363636363636362</v>
      </c>
      <c r="N60" s="12"/>
    </row>
    <row r="61" spans="2:14" ht="15" customHeight="1">
      <c r="B61" s="27" t="s">
        <v>15</v>
      </c>
      <c r="C61" s="18" t="s">
        <v>59</v>
      </c>
      <c r="D61" s="24">
        <v>380</v>
      </c>
      <c r="E61" s="25">
        <v>0.443</v>
      </c>
      <c r="F61" s="25">
        <v>0.879</v>
      </c>
      <c r="G61" s="24">
        <v>651</v>
      </c>
      <c r="H61" s="26">
        <v>2.2000000000000002</v>
      </c>
      <c r="I61" s="26">
        <v>3.4</v>
      </c>
      <c r="J61" s="24">
        <v>329</v>
      </c>
      <c r="K61" s="24">
        <v>29</v>
      </c>
      <c r="L61" s="24">
        <v>4474</v>
      </c>
      <c r="M61" s="26">
        <f>L61/D61</f>
        <v>11.773684210526316</v>
      </c>
      <c r="N61" s="12"/>
    </row>
    <row r="63" spans="2:14" ht="15" customHeight="1">
      <c r="B63" s="30" t="s">
        <v>306</v>
      </c>
    </row>
    <row r="64" spans="2:14" ht="15" customHeight="1">
      <c r="B64" s="19" t="s">
        <v>2</v>
      </c>
      <c r="C64" s="20" t="s">
        <v>3</v>
      </c>
      <c r="D64" s="21" t="s">
        <v>4</v>
      </c>
      <c r="E64" s="22" t="s">
        <v>5</v>
      </c>
      <c r="F64" s="22" t="s">
        <v>6</v>
      </c>
      <c r="G64" s="21" t="s">
        <v>7</v>
      </c>
      <c r="H64" s="23" t="s">
        <v>8</v>
      </c>
      <c r="I64" s="23" t="s">
        <v>9</v>
      </c>
      <c r="J64" s="21" t="s">
        <v>10</v>
      </c>
      <c r="K64" s="21" t="s">
        <v>11</v>
      </c>
      <c r="L64" s="21" t="s">
        <v>12</v>
      </c>
      <c r="M64" s="23" t="s">
        <v>13</v>
      </c>
      <c r="N64" s="8"/>
    </row>
    <row r="65" spans="2:14" ht="15" customHeight="1">
      <c r="B65" s="24">
        <v>2024</v>
      </c>
      <c r="C65" s="18" t="s">
        <v>133</v>
      </c>
      <c r="D65" s="24">
        <v>18</v>
      </c>
      <c r="E65" s="25">
        <v>0.40500000000000003</v>
      </c>
      <c r="F65" s="25">
        <v>0.75</v>
      </c>
      <c r="G65" s="24">
        <v>16</v>
      </c>
      <c r="H65" s="26">
        <v>4.0999999999999996</v>
      </c>
      <c r="I65" s="26">
        <v>3.1</v>
      </c>
      <c r="J65" s="24">
        <v>16</v>
      </c>
      <c r="K65" s="24">
        <v>7</v>
      </c>
      <c r="L65" s="24">
        <v>220</v>
      </c>
      <c r="M65" s="26">
        <f>L65/D65</f>
        <v>12.222222222222221</v>
      </c>
      <c r="N65" s="12"/>
    </row>
    <row r="66" spans="2:14" ht="15" customHeight="1">
      <c r="B66" s="27" t="s">
        <v>15</v>
      </c>
      <c r="C66" s="18" t="s">
        <v>25</v>
      </c>
      <c r="D66" s="24">
        <v>240</v>
      </c>
      <c r="E66" s="25">
        <v>0.41599999999999998</v>
      </c>
      <c r="F66" s="25">
        <v>0.749</v>
      </c>
      <c r="G66" s="24">
        <v>200</v>
      </c>
      <c r="H66" s="26">
        <v>4.0999999999999996</v>
      </c>
      <c r="I66" s="26">
        <v>2.7</v>
      </c>
      <c r="J66" s="24">
        <v>303</v>
      </c>
      <c r="K66" s="24">
        <v>115</v>
      </c>
      <c r="L66" s="24">
        <v>2875</v>
      </c>
      <c r="M66" s="26">
        <f>L66/D66</f>
        <v>11.979166666666666</v>
      </c>
      <c r="N66" s="12"/>
    </row>
    <row r="67" spans="2:14" ht="15" customHeight="1">
      <c r="B67" s="9"/>
      <c r="D67" s="10"/>
      <c r="E67" s="11"/>
      <c r="F67" s="11"/>
      <c r="G67" s="10"/>
      <c r="H67" s="12"/>
      <c r="I67" s="12"/>
      <c r="J67" s="10"/>
      <c r="K67" s="10"/>
      <c r="L67" s="10"/>
      <c r="M67" s="12"/>
      <c r="N67" s="12"/>
    </row>
    <row r="68" spans="2:14" ht="15" customHeight="1">
      <c r="B68" s="30" t="s">
        <v>307</v>
      </c>
      <c r="N68" s="8"/>
    </row>
    <row r="69" spans="2:14" ht="15" customHeight="1">
      <c r="B69" s="19" t="s">
        <v>2</v>
      </c>
      <c r="C69" s="20" t="s">
        <v>3</v>
      </c>
      <c r="D69" s="21" t="s">
        <v>4</v>
      </c>
      <c r="E69" s="22" t="s">
        <v>5</v>
      </c>
      <c r="F69" s="22" t="s">
        <v>6</v>
      </c>
      <c r="G69" s="21" t="s">
        <v>7</v>
      </c>
      <c r="H69" s="23" t="s">
        <v>8</v>
      </c>
      <c r="I69" s="23" t="s">
        <v>9</v>
      </c>
      <c r="J69" s="21" t="s">
        <v>10</v>
      </c>
      <c r="K69" s="21" t="s">
        <v>11</v>
      </c>
      <c r="L69" s="21" t="s">
        <v>12</v>
      </c>
      <c r="M69" s="23" t="s">
        <v>13</v>
      </c>
      <c r="N69" s="12"/>
    </row>
    <row r="70" spans="2:14" ht="15" customHeight="1">
      <c r="B70" s="24">
        <v>2024</v>
      </c>
      <c r="C70" s="18" t="s">
        <v>133</v>
      </c>
      <c r="D70" s="24">
        <v>12</v>
      </c>
      <c r="E70" s="25">
        <v>0.43</v>
      </c>
      <c r="F70" s="25">
        <v>0.66700000000000004</v>
      </c>
      <c r="G70" s="24">
        <v>1</v>
      </c>
      <c r="H70" s="26">
        <v>6.8</v>
      </c>
      <c r="I70" s="26">
        <v>0.9</v>
      </c>
      <c r="J70" s="24">
        <v>15</v>
      </c>
      <c r="K70" s="24">
        <v>11</v>
      </c>
      <c r="L70" s="24">
        <v>141</v>
      </c>
      <c r="M70" s="26">
        <f>L70/D70</f>
        <v>11.75</v>
      </c>
      <c r="N70" s="12"/>
    </row>
    <row r="71" spans="2:14" ht="15" customHeight="1">
      <c r="B71" s="27" t="s">
        <v>15</v>
      </c>
      <c r="C71" s="18" t="s">
        <v>23</v>
      </c>
      <c r="D71" s="24">
        <v>67</v>
      </c>
      <c r="E71" s="25">
        <v>0.504</v>
      </c>
      <c r="F71" s="25">
        <v>0.63100000000000001</v>
      </c>
      <c r="G71" s="24">
        <v>1</v>
      </c>
      <c r="H71" s="26">
        <v>6.7</v>
      </c>
      <c r="I71" s="26">
        <v>0.9</v>
      </c>
      <c r="J71" s="24">
        <v>58</v>
      </c>
      <c r="K71" s="24">
        <v>58</v>
      </c>
      <c r="L71" s="24">
        <v>643</v>
      </c>
      <c r="M71" s="26">
        <f>L71/D71</f>
        <v>9.5970149253731343</v>
      </c>
      <c r="N71" s="17"/>
    </row>
    <row r="72" spans="2:14" ht="15" customHeight="1">
      <c r="B72" s="15"/>
      <c r="C72" s="5"/>
      <c r="D72" s="5"/>
      <c r="E72" s="16"/>
      <c r="F72" s="16"/>
      <c r="G72" s="5"/>
      <c r="H72" s="17"/>
      <c r="I72" s="17"/>
      <c r="J72" s="5"/>
      <c r="K72" s="5"/>
      <c r="L72" s="17"/>
      <c r="M72" s="17"/>
    </row>
    <row r="73" spans="2:14" ht="15" customHeight="1">
      <c r="B73" s="30" t="s">
        <v>308</v>
      </c>
    </row>
    <row r="74" spans="2:14" ht="15" customHeight="1">
      <c r="B74" s="19" t="s">
        <v>2</v>
      </c>
      <c r="C74" s="20" t="s">
        <v>3</v>
      </c>
      <c r="D74" s="21" t="s">
        <v>4</v>
      </c>
      <c r="E74" s="22" t="s">
        <v>5</v>
      </c>
      <c r="F74" s="22" t="s">
        <v>6</v>
      </c>
      <c r="G74" s="21" t="s">
        <v>7</v>
      </c>
      <c r="H74" s="23" t="s">
        <v>8</v>
      </c>
      <c r="I74" s="23" t="s">
        <v>9</v>
      </c>
      <c r="J74" s="21" t="s">
        <v>10</v>
      </c>
      <c r="K74" s="21" t="s">
        <v>11</v>
      </c>
      <c r="L74" s="21" t="s">
        <v>12</v>
      </c>
      <c r="M74" s="23" t="s">
        <v>13</v>
      </c>
      <c r="N74" s="8"/>
    </row>
    <row r="75" spans="2:14" ht="15" customHeight="1">
      <c r="B75" s="24">
        <v>2024</v>
      </c>
      <c r="C75" s="18" t="s">
        <v>133</v>
      </c>
      <c r="D75" s="24">
        <v>39</v>
      </c>
      <c r="E75" s="25">
        <v>0.47499999999999998</v>
      </c>
      <c r="F75" s="25">
        <v>0.78600000000000003</v>
      </c>
      <c r="G75" s="24">
        <v>72</v>
      </c>
      <c r="H75" s="26">
        <v>4.9000000000000004</v>
      </c>
      <c r="I75" s="26">
        <v>2.6</v>
      </c>
      <c r="J75" s="24">
        <v>21</v>
      </c>
      <c r="K75" s="24">
        <v>18</v>
      </c>
      <c r="L75" s="24">
        <v>371</v>
      </c>
      <c r="M75" s="26">
        <f>L75/D75</f>
        <v>9.5128205128205128</v>
      </c>
      <c r="N75" s="12"/>
    </row>
    <row r="76" spans="2:14" ht="15" customHeight="1">
      <c r="B76" s="27" t="s">
        <v>15</v>
      </c>
      <c r="C76" s="18" t="s">
        <v>16</v>
      </c>
      <c r="D76" s="24">
        <v>333</v>
      </c>
      <c r="E76" s="25">
        <v>0.5</v>
      </c>
      <c r="F76" s="25">
        <v>0.85899999999999999</v>
      </c>
      <c r="G76" s="24">
        <v>239</v>
      </c>
      <c r="H76" s="26">
        <v>4.7</v>
      </c>
      <c r="I76" s="26">
        <v>1.9</v>
      </c>
      <c r="J76" s="24">
        <v>142</v>
      </c>
      <c r="K76" s="24">
        <v>290</v>
      </c>
      <c r="L76" s="24">
        <v>2965</v>
      </c>
      <c r="M76" s="26">
        <f>L76/D76</f>
        <v>8.9039039039039043</v>
      </c>
      <c r="N76" s="12"/>
    </row>
    <row r="77" spans="2:14" s="28" customFormat="1" ht="15" customHeight="1">
      <c r="B77" s="9"/>
      <c r="C77" s="1"/>
      <c r="D77" s="10"/>
      <c r="E77" s="11"/>
      <c r="F77" s="11"/>
      <c r="G77" s="10"/>
      <c r="H77" s="12"/>
      <c r="I77" s="12"/>
      <c r="J77" s="10"/>
      <c r="K77" s="10"/>
      <c r="L77" s="10"/>
      <c r="M77" s="12"/>
      <c r="N77" s="12"/>
    </row>
    <row r="78" spans="2:14" ht="15" customHeight="1">
      <c r="B78" s="30" t="s">
        <v>309</v>
      </c>
    </row>
    <row r="79" spans="2:14" ht="15" customHeight="1">
      <c r="B79" s="19" t="s">
        <v>2</v>
      </c>
      <c r="C79" s="20" t="s">
        <v>3</v>
      </c>
      <c r="D79" s="21" t="s">
        <v>4</v>
      </c>
      <c r="E79" s="22" t="s">
        <v>5</v>
      </c>
      <c r="F79" s="22" t="s">
        <v>6</v>
      </c>
      <c r="G79" s="21" t="s">
        <v>7</v>
      </c>
      <c r="H79" s="23" t="s">
        <v>8</v>
      </c>
      <c r="I79" s="23" t="s">
        <v>9</v>
      </c>
      <c r="J79" s="21" t="s">
        <v>10</v>
      </c>
      <c r="K79" s="21" t="s">
        <v>11</v>
      </c>
      <c r="L79" s="21" t="s">
        <v>12</v>
      </c>
      <c r="M79" s="23" t="s">
        <v>13</v>
      </c>
      <c r="N79" s="8"/>
    </row>
    <row r="80" spans="2:14" ht="15" customHeight="1">
      <c r="B80" s="24">
        <v>2024</v>
      </c>
      <c r="C80" s="18" t="s">
        <v>133</v>
      </c>
      <c r="D80" s="24">
        <v>29</v>
      </c>
      <c r="E80" s="25">
        <v>0.40899999999999997</v>
      </c>
      <c r="F80" s="25">
        <v>0.92300000000000004</v>
      </c>
      <c r="G80" s="24">
        <v>49</v>
      </c>
      <c r="H80" s="26">
        <v>2.6</v>
      </c>
      <c r="I80" s="26">
        <v>2.1</v>
      </c>
      <c r="J80" s="24">
        <v>27</v>
      </c>
      <c r="K80" s="24">
        <v>1</v>
      </c>
      <c r="L80" s="24">
        <v>243</v>
      </c>
      <c r="M80" s="26">
        <f>L80/D80</f>
        <v>8.3793103448275854</v>
      </c>
      <c r="N80" s="12"/>
    </row>
    <row r="81" spans="2:14" ht="15" customHeight="1">
      <c r="B81" s="27" t="s">
        <v>15</v>
      </c>
      <c r="C81" s="18" t="s">
        <v>71</v>
      </c>
      <c r="D81" s="24">
        <v>105</v>
      </c>
      <c r="E81" s="25">
        <v>0.41899999999999998</v>
      </c>
      <c r="F81" s="25">
        <v>0.91900000000000004</v>
      </c>
      <c r="G81" s="24">
        <v>119</v>
      </c>
      <c r="H81" s="26">
        <v>2.1</v>
      </c>
      <c r="I81" s="26">
        <v>1.5</v>
      </c>
      <c r="J81" s="24">
        <v>61</v>
      </c>
      <c r="K81" s="24">
        <v>10</v>
      </c>
      <c r="L81" s="24">
        <v>586</v>
      </c>
      <c r="M81" s="26">
        <f>L81/D81</f>
        <v>5.5809523809523807</v>
      </c>
      <c r="N81" s="12"/>
    </row>
    <row r="82" spans="2:14" ht="15" customHeight="1">
      <c r="B82" s="9"/>
      <c r="D82" s="10"/>
      <c r="E82" s="11"/>
      <c r="F82" s="11"/>
      <c r="G82" s="10"/>
      <c r="H82" s="12"/>
      <c r="I82" s="12"/>
      <c r="J82" s="10"/>
      <c r="K82" s="10"/>
      <c r="L82" s="10"/>
      <c r="M82" s="12"/>
      <c r="N82" s="12"/>
    </row>
    <row r="83" spans="2:14" ht="15" customHeight="1">
      <c r="B83" s="30" t="s">
        <v>310</v>
      </c>
    </row>
    <row r="84" spans="2:14" ht="15" customHeight="1">
      <c r="B84" s="19" t="s">
        <v>2</v>
      </c>
      <c r="C84" s="20" t="s">
        <v>3</v>
      </c>
      <c r="D84" s="21" t="s">
        <v>4</v>
      </c>
      <c r="E84" s="22" t="s">
        <v>5</v>
      </c>
      <c r="F84" s="22" t="s">
        <v>6</v>
      </c>
      <c r="G84" s="21" t="s">
        <v>7</v>
      </c>
      <c r="H84" s="23" t="s">
        <v>8</v>
      </c>
      <c r="I84" s="23" t="s">
        <v>9</v>
      </c>
      <c r="J84" s="21" t="s">
        <v>10</v>
      </c>
      <c r="K84" s="21" t="s">
        <v>11</v>
      </c>
      <c r="L84" s="21" t="s">
        <v>12</v>
      </c>
      <c r="M84" s="23" t="s">
        <v>13</v>
      </c>
    </row>
    <row r="85" spans="2:14" ht="15" customHeight="1">
      <c r="B85" s="24">
        <v>2024</v>
      </c>
      <c r="C85" s="18" t="s">
        <v>311</v>
      </c>
      <c r="D85" s="24">
        <v>29</v>
      </c>
      <c r="E85" s="25">
        <v>0.30399999999999999</v>
      </c>
      <c r="F85" s="25">
        <v>0.69199999999999995</v>
      </c>
      <c r="G85" s="24">
        <v>10</v>
      </c>
      <c r="H85" s="26">
        <v>1</v>
      </c>
      <c r="I85" s="26">
        <v>2.1</v>
      </c>
      <c r="J85" s="24">
        <v>16</v>
      </c>
      <c r="K85" s="24">
        <v>1</v>
      </c>
      <c r="L85" s="24">
        <v>67</v>
      </c>
      <c r="M85" s="26">
        <f>L85/D85</f>
        <v>2.3103448275862069</v>
      </c>
    </row>
    <row r="86" spans="2:14" ht="15" customHeight="1">
      <c r="B86" s="27" t="s">
        <v>15</v>
      </c>
      <c r="C86" s="18" t="s">
        <v>23</v>
      </c>
      <c r="D86" s="24">
        <v>81</v>
      </c>
      <c r="E86" s="25">
        <v>0.36899999999999999</v>
      </c>
      <c r="F86" s="25">
        <v>0.42</v>
      </c>
      <c r="G86" s="24">
        <v>45</v>
      </c>
      <c r="H86" s="26">
        <v>1.7</v>
      </c>
      <c r="I86" s="26">
        <v>3.3</v>
      </c>
      <c r="J86" s="24">
        <v>44</v>
      </c>
      <c r="K86" s="24">
        <v>4</v>
      </c>
      <c r="L86" s="24">
        <v>429</v>
      </c>
      <c r="M86" s="26">
        <f>L86/D86</f>
        <v>5.2962962962962967</v>
      </c>
    </row>
    <row r="88" spans="2:14" ht="15" customHeight="1">
      <c r="B88" s="30" t="s">
        <v>312</v>
      </c>
    </row>
    <row r="89" spans="2:14" ht="15" customHeight="1">
      <c r="B89" s="19" t="s">
        <v>2</v>
      </c>
      <c r="C89" s="20" t="s">
        <v>3</v>
      </c>
      <c r="D89" s="21" t="s">
        <v>4</v>
      </c>
      <c r="E89" s="22" t="s">
        <v>5</v>
      </c>
      <c r="F89" s="22" t="s">
        <v>6</v>
      </c>
      <c r="G89" s="21" t="s">
        <v>7</v>
      </c>
      <c r="H89" s="23" t="s">
        <v>8</v>
      </c>
      <c r="I89" s="23" t="s">
        <v>9</v>
      </c>
      <c r="J89" s="21" t="s">
        <v>10</v>
      </c>
      <c r="K89" s="21" t="s">
        <v>11</v>
      </c>
      <c r="L89" s="21" t="s">
        <v>12</v>
      </c>
      <c r="M89" s="23" t="s">
        <v>13</v>
      </c>
    </row>
    <row r="90" spans="2:14" ht="15" customHeight="1">
      <c r="B90" s="24">
        <v>2024</v>
      </c>
      <c r="C90" s="18" t="s">
        <v>133</v>
      </c>
      <c r="D90" s="24">
        <v>37</v>
      </c>
      <c r="E90" s="25">
        <v>0.434</v>
      </c>
      <c r="F90" s="25">
        <v>0.71399999999999997</v>
      </c>
      <c r="G90" s="24">
        <v>20</v>
      </c>
      <c r="H90" s="26">
        <v>1.5</v>
      </c>
      <c r="I90" s="26">
        <v>1.6</v>
      </c>
      <c r="J90" s="24">
        <v>24</v>
      </c>
      <c r="K90" s="24">
        <v>5</v>
      </c>
      <c r="L90" s="24">
        <v>199</v>
      </c>
      <c r="M90" s="26">
        <f>L90/D90</f>
        <v>5.3783783783783781</v>
      </c>
    </row>
    <row r="91" spans="2:14" ht="15" customHeight="1">
      <c r="B91" s="27" t="s">
        <v>15</v>
      </c>
      <c r="C91" s="18" t="s">
        <v>38</v>
      </c>
      <c r="D91" s="24">
        <v>66</v>
      </c>
      <c r="E91" s="25">
        <v>0.42199999999999999</v>
      </c>
      <c r="F91" s="25">
        <v>0.74399999999999999</v>
      </c>
      <c r="G91" s="24">
        <v>23</v>
      </c>
      <c r="H91" s="26">
        <v>1.3</v>
      </c>
      <c r="I91" s="26">
        <v>1.4</v>
      </c>
      <c r="J91" s="24">
        <v>36</v>
      </c>
      <c r="K91" s="24">
        <v>6</v>
      </c>
      <c r="L91" s="24">
        <v>275</v>
      </c>
      <c r="M91" s="26">
        <f>L91/D91</f>
        <v>4.166666666666667</v>
      </c>
    </row>
    <row r="93" spans="2:14" ht="15" customHeight="1">
      <c r="B93" s="30" t="s">
        <v>313</v>
      </c>
    </row>
    <row r="94" spans="2:14" ht="15" customHeight="1">
      <c r="B94" s="19" t="s">
        <v>2</v>
      </c>
      <c r="C94" s="20" t="s">
        <v>3</v>
      </c>
      <c r="D94" s="21" t="s">
        <v>4</v>
      </c>
      <c r="E94" s="22" t="s">
        <v>5</v>
      </c>
      <c r="F94" s="22" t="s">
        <v>6</v>
      </c>
      <c r="G94" s="21" t="s">
        <v>7</v>
      </c>
      <c r="H94" s="23" t="s">
        <v>8</v>
      </c>
      <c r="I94" s="23" t="s">
        <v>9</v>
      </c>
      <c r="J94" s="21" t="s">
        <v>10</v>
      </c>
      <c r="K94" s="21" t="s">
        <v>11</v>
      </c>
      <c r="L94" s="21" t="s">
        <v>12</v>
      </c>
      <c r="M94" s="23" t="s">
        <v>13</v>
      </c>
    </row>
    <row r="95" spans="2:14" ht="15" customHeight="1">
      <c r="B95" s="24">
        <v>2024</v>
      </c>
      <c r="C95" s="18" t="s">
        <v>133</v>
      </c>
      <c r="D95" s="24">
        <v>34</v>
      </c>
      <c r="E95" s="25">
        <v>0.49</v>
      </c>
      <c r="F95" s="25">
        <v>0.65</v>
      </c>
      <c r="G95" s="24">
        <v>0</v>
      </c>
      <c r="H95" s="26">
        <v>5.6</v>
      </c>
      <c r="I95" s="26">
        <v>1.4</v>
      </c>
      <c r="J95" s="24">
        <v>25</v>
      </c>
      <c r="K95" s="24">
        <v>27</v>
      </c>
      <c r="L95" s="24">
        <v>258</v>
      </c>
      <c r="M95" s="26">
        <f>L95/D95</f>
        <v>7.5882352941176467</v>
      </c>
    </row>
    <row r="96" spans="2:14" ht="15" customHeight="1">
      <c r="B96" s="27" t="s">
        <v>15</v>
      </c>
      <c r="C96" s="18" t="s">
        <v>40</v>
      </c>
      <c r="D96" s="24">
        <v>34</v>
      </c>
      <c r="E96" s="25">
        <v>0.49</v>
      </c>
      <c r="F96" s="25">
        <v>0.65</v>
      </c>
      <c r="G96" s="24">
        <v>0</v>
      </c>
      <c r="H96" s="26">
        <v>5.6</v>
      </c>
      <c r="I96" s="26">
        <v>1.4</v>
      </c>
      <c r="J96" s="24">
        <v>25</v>
      </c>
      <c r="K96" s="24">
        <v>27</v>
      </c>
      <c r="L96" s="24">
        <v>258</v>
      </c>
      <c r="M96" s="26">
        <f>L96/D96</f>
        <v>7.5882352941176467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O155"/>
  <sheetViews>
    <sheetView topLeftCell="B1" zoomScale="120" zoomScaleNormal="120" workbookViewId="0">
      <selection activeCell="L16" sqref="L16"/>
    </sheetView>
  </sheetViews>
  <sheetFormatPr defaultColWidth="45" defaultRowHeight="11.25"/>
  <cols>
    <col min="1" max="1" width="2.7109375" style="1" customWidth="1"/>
    <col min="2" max="2" width="17.7109375" style="13" bestFit="1" customWidth="1"/>
    <col min="3" max="3" width="19.140625" style="1" bestFit="1" customWidth="1"/>
    <col min="4" max="4" width="4.28515625" style="1" customWidth="1"/>
    <col min="5" max="5" width="7.42578125" style="2" bestFit="1" customWidth="1"/>
    <col min="6" max="6" width="4.85546875" style="2" bestFit="1" customWidth="1"/>
    <col min="7" max="7" width="4.42578125" style="1" bestFit="1" customWidth="1"/>
    <col min="8" max="8" width="4.140625" style="3" bestFit="1" customWidth="1"/>
    <col min="9" max="9" width="4.28515625" style="3" bestFit="1" customWidth="1"/>
    <col min="10" max="10" width="5.140625" style="1" customWidth="1"/>
    <col min="11" max="11" width="4.42578125" style="1" bestFit="1" customWidth="1"/>
    <col min="12" max="12" width="5.28515625" style="1" bestFit="1" customWidth="1"/>
    <col min="13" max="13" width="4.42578125" style="3" bestFit="1" customWidth="1"/>
    <col min="14" max="14" width="4.42578125" style="3" customWidth="1"/>
    <col min="15" max="16384" width="45" style="1"/>
  </cols>
  <sheetData>
    <row r="1" spans="2:15" ht="15" customHeight="1">
      <c r="B1" s="33" t="s">
        <v>314</v>
      </c>
    </row>
    <row r="3" spans="2:15" ht="15" customHeight="1">
      <c r="B3" s="30" t="s">
        <v>315</v>
      </c>
    </row>
    <row r="4" spans="2:15" ht="15" customHeight="1">
      <c r="B4" s="19" t="s">
        <v>2</v>
      </c>
      <c r="C4" s="20" t="s">
        <v>3</v>
      </c>
      <c r="D4" s="21" t="s">
        <v>4</v>
      </c>
      <c r="E4" s="22" t="s">
        <v>5</v>
      </c>
      <c r="F4" s="22" t="s">
        <v>6</v>
      </c>
      <c r="G4" s="21" t="s">
        <v>7</v>
      </c>
      <c r="H4" s="23" t="s">
        <v>8</v>
      </c>
      <c r="I4" s="23" t="s">
        <v>9</v>
      </c>
      <c r="J4" s="21" t="s">
        <v>10</v>
      </c>
      <c r="K4" s="21" t="s">
        <v>11</v>
      </c>
      <c r="L4" s="21" t="s">
        <v>12</v>
      </c>
      <c r="M4" s="23" t="s">
        <v>13</v>
      </c>
      <c r="N4" s="8"/>
    </row>
    <row r="5" spans="2:15" ht="15" customHeight="1">
      <c r="B5" s="27" t="s">
        <v>15</v>
      </c>
      <c r="C5" s="18" t="s">
        <v>29</v>
      </c>
      <c r="D5" s="24">
        <v>450</v>
      </c>
      <c r="E5" s="25">
        <v>0.438</v>
      </c>
      <c r="F5" s="25">
        <v>0.89700000000000002</v>
      </c>
      <c r="G5" s="24">
        <v>829</v>
      </c>
      <c r="H5" s="26">
        <v>2.5</v>
      </c>
      <c r="I5" s="26">
        <v>3.8</v>
      </c>
      <c r="J5" s="24">
        <v>488</v>
      </c>
      <c r="K5" s="24">
        <v>59</v>
      </c>
      <c r="L5" s="24">
        <v>5841</v>
      </c>
      <c r="M5" s="26">
        <f>L5/D5</f>
        <v>12.98</v>
      </c>
      <c r="N5" s="12"/>
    </row>
    <row r="7" spans="2:15" ht="15" customHeight="1">
      <c r="B7" s="9"/>
      <c r="D7" s="10"/>
      <c r="E7" s="11"/>
      <c r="F7" s="11"/>
      <c r="G7" s="10"/>
      <c r="H7" s="12"/>
      <c r="I7" s="12"/>
      <c r="J7" s="10"/>
      <c r="K7" s="10"/>
      <c r="L7" s="10"/>
      <c r="M7" s="12"/>
      <c r="N7" s="12"/>
    </row>
    <row r="8" spans="2:15" ht="15" customHeight="1">
      <c r="B8" s="30" t="s">
        <v>316</v>
      </c>
    </row>
    <row r="9" spans="2:15" ht="15" customHeight="1">
      <c r="B9" s="19" t="s">
        <v>2</v>
      </c>
      <c r="C9" s="20" t="s">
        <v>3</v>
      </c>
      <c r="D9" s="21" t="s">
        <v>4</v>
      </c>
      <c r="E9" s="22" t="s">
        <v>5</v>
      </c>
      <c r="F9" s="22" t="s">
        <v>6</v>
      </c>
      <c r="G9" s="21" t="s">
        <v>7</v>
      </c>
      <c r="H9" s="23" t="s">
        <v>8</v>
      </c>
      <c r="I9" s="23" t="s">
        <v>9</v>
      </c>
      <c r="J9" s="21" t="s">
        <v>10</v>
      </c>
      <c r="K9" s="21" t="s">
        <v>11</v>
      </c>
      <c r="L9" s="21" t="s">
        <v>12</v>
      </c>
      <c r="M9" s="23" t="s">
        <v>13</v>
      </c>
      <c r="N9" s="8"/>
      <c r="O9" s="5"/>
    </row>
    <row r="10" spans="2:15" ht="15" customHeight="1">
      <c r="B10" s="27" t="s">
        <v>15</v>
      </c>
      <c r="C10" s="18" t="s">
        <v>33</v>
      </c>
      <c r="D10" s="24">
        <v>124</v>
      </c>
      <c r="E10" s="25">
        <v>0.45900000000000002</v>
      </c>
      <c r="F10" s="25">
        <v>0.871</v>
      </c>
      <c r="G10" s="24">
        <v>239</v>
      </c>
      <c r="H10" s="26">
        <v>3.3</v>
      </c>
      <c r="I10" s="26">
        <v>4.9000000000000004</v>
      </c>
      <c r="J10" s="24">
        <v>193</v>
      </c>
      <c r="K10" s="24">
        <v>35</v>
      </c>
      <c r="L10" s="24">
        <v>2601</v>
      </c>
      <c r="M10" s="26">
        <f>L10/D10</f>
        <v>20.975806451612904</v>
      </c>
      <c r="N10" s="12"/>
    </row>
    <row r="12" spans="2:15" ht="15" customHeight="1">
      <c r="B12" s="30" t="s">
        <v>317</v>
      </c>
    </row>
    <row r="13" spans="2:15" ht="15" customHeight="1">
      <c r="B13" s="19" t="s">
        <v>2</v>
      </c>
      <c r="C13" s="20" t="s">
        <v>3</v>
      </c>
      <c r="D13" s="21" t="s">
        <v>4</v>
      </c>
      <c r="E13" s="22" t="s">
        <v>5</v>
      </c>
      <c r="F13" s="22" t="s">
        <v>6</v>
      </c>
      <c r="G13" s="21" t="s">
        <v>7</v>
      </c>
      <c r="H13" s="23" t="s">
        <v>8</v>
      </c>
      <c r="I13" s="23" t="s">
        <v>9</v>
      </c>
      <c r="J13" s="21" t="s">
        <v>10</v>
      </c>
      <c r="K13" s="21" t="s">
        <v>11</v>
      </c>
      <c r="L13" s="21" t="s">
        <v>12</v>
      </c>
      <c r="M13" s="23" t="s">
        <v>13</v>
      </c>
      <c r="N13" s="8"/>
    </row>
    <row r="14" spans="2:15" ht="15" customHeight="1">
      <c r="B14" s="27" t="s">
        <v>15</v>
      </c>
      <c r="C14" s="18" t="s">
        <v>38</v>
      </c>
      <c r="D14" s="24">
        <v>55</v>
      </c>
      <c r="E14" s="25">
        <v>0.39500000000000002</v>
      </c>
      <c r="F14" s="25">
        <v>0.63500000000000001</v>
      </c>
      <c r="G14" s="24">
        <v>0</v>
      </c>
      <c r="H14" s="26">
        <v>3.3</v>
      </c>
      <c r="I14" s="26">
        <v>1.6</v>
      </c>
      <c r="J14" s="24">
        <v>68</v>
      </c>
      <c r="K14" s="24">
        <v>13</v>
      </c>
      <c r="L14" s="24">
        <v>312</v>
      </c>
      <c r="M14" s="26">
        <f>L14/D14</f>
        <v>5.6727272727272728</v>
      </c>
      <c r="N14" s="12"/>
    </row>
    <row r="15" spans="2:15" ht="15" customHeight="1">
      <c r="B15" s="9"/>
      <c r="D15" s="10"/>
      <c r="E15" s="11"/>
      <c r="F15" s="11"/>
      <c r="G15" s="10"/>
      <c r="H15" s="12"/>
      <c r="I15" s="12"/>
      <c r="J15" s="10"/>
      <c r="K15" s="10"/>
      <c r="L15" s="10"/>
      <c r="M15" s="12"/>
      <c r="N15" s="12"/>
    </row>
    <row r="16" spans="2:15" ht="15" customHeight="1">
      <c r="B16" s="30" t="s">
        <v>318</v>
      </c>
    </row>
    <row r="17" spans="2:14" ht="15" customHeight="1">
      <c r="B17" s="19" t="s">
        <v>2</v>
      </c>
      <c r="C17" s="20" t="s">
        <v>3</v>
      </c>
      <c r="D17" s="21" t="s">
        <v>4</v>
      </c>
      <c r="E17" s="22" t="s">
        <v>5</v>
      </c>
      <c r="F17" s="22" t="s">
        <v>6</v>
      </c>
      <c r="G17" s="21" t="s">
        <v>7</v>
      </c>
      <c r="H17" s="23" t="s">
        <v>8</v>
      </c>
      <c r="I17" s="23" t="s">
        <v>9</v>
      </c>
      <c r="J17" s="21" t="s">
        <v>10</v>
      </c>
      <c r="K17" s="21" t="s">
        <v>11</v>
      </c>
      <c r="L17" s="21" t="s">
        <v>12</v>
      </c>
      <c r="M17" s="23" t="s">
        <v>13</v>
      </c>
      <c r="N17" s="8"/>
    </row>
    <row r="18" spans="2:14" ht="15" customHeight="1">
      <c r="B18" s="27" t="s">
        <v>15</v>
      </c>
      <c r="C18" s="18" t="s">
        <v>38</v>
      </c>
      <c r="D18" s="24">
        <v>26</v>
      </c>
      <c r="E18" s="25">
        <v>0.32100000000000001</v>
      </c>
      <c r="F18" s="25">
        <v>0.8</v>
      </c>
      <c r="G18" s="24">
        <v>6</v>
      </c>
      <c r="H18" s="26">
        <v>1.2</v>
      </c>
      <c r="I18" s="26">
        <v>1.6</v>
      </c>
      <c r="J18" s="24">
        <v>15</v>
      </c>
      <c r="K18" s="24">
        <v>2</v>
      </c>
      <c r="L18" s="24">
        <v>64</v>
      </c>
      <c r="M18" s="26">
        <f>L18/D18</f>
        <v>2.4615384615384617</v>
      </c>
      <c r="N18" s="12"/>
    </row>
    <row r="19" spans="2:14" ht="15" customHeight="1">
      <c r="B19" s="15"/>
      <c r="C19" s="5"/>
      <c r="D19" s="6"/>
      <c r="E19" s="7"/>
      <c r="F19" s="7"/>
      <c r="G19" s="6"/>
      <c r="H19" s="8"/>
      <c r="I19" s="8"/>
      <c r="J19" s="6"/>
      <c r="K19" s="6"/>
      <c r="L19" s="6"/>
      <c r="M19" s="8"/>
      <c r="N19" s="8"/>
    </row>
    <row r="20" spans="2:14" ht="15" customHeight="1">
      <c r="B20" s="30" t="s">
        <v>319</v>
      </c>
    </row>
    <row r="21" spans="2:14" ht="15" customHeight="1">
      <c r="B21" s="19" t="s">
        <v>2</v>
      </c>
      <c r="C21" s="20" t="s">
        <v>3</v>
      </c>
      <c r="D21" s="21" t="s">
        <v>4</v>
      </c>
      <c r="E21" s="22" t="s">
        <v>5</v>
      </c>
      <c r="F21" s="22" t="s">
        <v>6</v>
      </c>
      <c r="G21" s="21" t="s">
        <v>7</v>
      </c>
      <c r="H21" s="23" t="s">
        <v>8</v>
      </c>
      <c r="I21" s="23" t="s">
        <v>9</v>
      </c>
      <c r="J21" s="21" t="s">
        <v>10</v>
      </c>
      <c r="K21" s="21" t="s">
        <v>11</v>
      </c>
      <c r="L21" s="21" t="s">
        <v>12</v>
      </c>
      <c r="M21" s="23" t="s">
        <v>13</v>
      </c>
      <c r="N21" s="8"/>
    </row>
    <row r="22" spans="2:14" ht="15" customHeight="1">
      <c r="B22" s="27" t="s">
        <v>15</v>
      </c>
      <c r="C22" s="18" t="s">
        <v>71</v>
      </c>
      <c r="D22" s="24">
        <v>121</v>
      </c>
      <c r="E22" s="25">
        <v>0.40699999999999997</v>
      </c>
      <c r="F22" s="25">
        <v>0.628</v>
      </c>
      <c r="G22" s="24">
        <v>41</v>
      </c>
      <c r="H22" s="26">
        <v>4.0999999999999996</v>
      </c>
      <c r="I22" s="26">
        <v>1</v>
      </c>
      <c r="J22" s="24">
        <v>52</v>
      </c>
      <c r="K22" s="24">
        <v>104</v>
      </c>
      <c r="L22" s="24">
        <v>808</v>
      </c>
      <c r="M22" s="26">
        <f>L22/D22</f>
        <v>6.6776859504132231</v>
      </c>
      <c r="N22" s="12"/>
    </row>
    <row r="23" spans="2:14" ht="15" customHeight="1">
      <c r="B23" s="9"/>
      <c r="D23" s="10"/>
      <c r="E23" s="11"/>
      <c r="F23" s="11"/>
      <c r="G23" s="10"/>
      <c r="H23" s="12"/>
      <c r="I23" s="12"/>
      <c r="J23" s="10"/>
      <c r="K23" s="10"/>
      <c r="L23" s="10"/>
      <c r="M23" s="12"/>
      <c r="N23" s="12"/>
    </row>
    <row r="24" spans="2:14" ht="15" customHeight="1">
      <c r="B24" s="30" t="s">
        <v>320</v>
      </c>
    </row>
    <row r="25" spans="2:14" ht="15" customHeight="1">
      <c r="B25" s="19" t="s">
        <v>2</v>
      </c>
      <c r="C25" s="20" t="s">
        <v>3</v>
      </c>
      <c r="D25" s="21" t="s">
        <v>4</v>
      </c>
      <c r="E25" s="22" t="s">
        <v>5</v>
      </c>
      <c r="F25" s="22" t="s">
        <v>6</v>
      </c>
      <c r="G25" s="21" t="s">
        <v>7</v>
      </c>
      <c r="H25" s="23" t="s">
        <v>8</v>
      </c>
      <c r="I25" s="23" t="s">
        <v>9</v>
      </c>
      <c r="J25" s="21" t="s">
        <v>10</v>
      </c>
      <c r="K25" s="21" t="s">
        <v>11</v>
      </c>
      <c r="L25" s="21" t="s">
        <v>12</v>
      </c>
      <c r="M25" s="23" t="s">
        <v>13</v>
      </c>
      <c r="N25" s="8"/>
    </row>
    <row r="26" spans="2:14" ht="15" customHeight="1">
      <c r="B26" s="27" t="s">
        <v>15</v>
      </c>
      <c r="C26" s="18" t="s">
        <v>162</v>
      </c>
      <c r="D26" s="24">
        <v>324</v>
      </c>
      <c r="E26" s="25">
        <v>0.436</v>
      </c>
      <c r="F26" s="25">
        <v>0.82499999999999996</v>
      </c>
      <c r="G26" s="24">
        <v>270</v>
      </c>
      <c r="H26" s="26">
        <v>4.9000000000000004</v>
      </c>
      <c r="I26" s="26">
        <v>3.2</v>
      </c>
      <c r="J26" s="24">
        <v>657</v>
      </c>
      <c r="K26" s="24">
        <v>216</v>
      </c>
      <c r="L26" s="24">
        <v>4875</v>
      </c>
      <c r="M26" s="26">
        <f>L26/D26</f>
        <v>15.046296296296296</v>
      </c>
      <c r="N26" s="12"/>
    </row>
    <row r="28" spans="2:14" ht="15" customHeight="1">
      <c r="B28" s="30" t="s">
        <v>321</v>
      </c>
    </row>
    <row r="29" spans="2:14" ht="15" customHeight="1">
      <c r="B29" s="19" t="s">
        <v>2</v>
      </c>
      <c r="C29" s="20" t="s">
        <v>3</v>
      </c>
      <c r="D29" s="21" t="s">
        <v>4</v>
      </c>
      <c r="E29" s="22" t="s">
        <v>5</v>
      </c>
      <c r="F29" s="22" t="s">
        <v>6</v>
      </c>
      <c r="G29" s="21" t="s">
        <v>7</v>
      </c>
      <c r="H29" s="23" t="s">
        <v>8</v>
      </c>
      <c r="I29" s="23" t="s">
        <v>9</v>
      </c>
      <c r="J29" s="21" t="s">
        <v>10</v>
      </c>
      <c r="K29" s="21" t="s">
        <v>11</v>
      </c>
      <c r="L29" s="21" t="s">
        <v>12</v>
      </c>
      <c r="M29" s="23" t="s">
        <v>13</v>
      </c>
      <c r="N29" s="8"/>
    </row>
    <row r="30" spans="2:14" ht="15" customHeight="1">
      <c r="B30" s="27" t="s">
        <v>15</v>
      </c>
      <c r="C30" s="18" t="s">
        <v>162</v>
      </c>
      <c r="D30" s="24">
        <v>363</v>
      </c>
      <c r="E30" s="25">
        <v>0.47</v>
      </c>
      <c r="F30" s="25">
        <v>0.69499999999999995</v>
      </c>
      <c r="G30" s="24">
        <v>122</v>
      </c>
      <c r="H30" s="26">
        <v>9.1</v>
      </c>
      <c r="I30" s="26">
        <v>2.4</v>
      </c>
      <c r="J30" s="24">
        <v>492</v>
      </c>
      <c r="K30" s="24">
        <v>822</v>
      </c>
      <c r="L30" s="24">
        <v>6263</v>
      </c>
      <c r="M30" s="26">
        <f>L30/D30</f>
        <v>17.253443526170798</v>
      </c>
      <c r="N30" s="12"/>
    </row>
    <row r="31" spans="2:14" s="5" customFormat="1" ht="15" customHeight="1">
      <c r="B31" s="9"/>
      <c r="C31" s="1"/>
      <c r="D31" s="10"/>
      <c r="E31" s="11"/>
      <c r="F31" s="11"/>
      <c r="G31" s="10"/>
      <c r="H31" s="12"/>
      <c r="I31" s="12"/>
      <c r="J31" s="10"/>
      <c r="K31" s="10"/>
      <c r="L31" s="10"/>
      <c r="M31" s="12"/>
      <c r="N31" s="12"/>
    </row>
    <row r="32" spans="2:14" ht="15" customHeight="1">
      <c r="B32" s="30" t="s">
        <v>322</v>
      </c>
    </row>
    <row r="33" spans="2:14" ht="15" customHeight="1">
      <c r="B33" s="19" t="s">
        <v>2</v>
      </c>
      <c r="C33" s="20" t="s">
        <v>3</v>
      </c>
      <c r="D33" s="21" t="s">
        <v>4</v>
      </c>
      <c r="E33" s="22" t="s">
        <v>5</v>
      </c>
      <c r="F33" s="22" t="s">
        <v>6</v>
      </c>
      <c r="G33" s="21" t="s">
        <v>7</v>
      </c>
      <c r="H33" s="23" t="s">
        <v>8</v>
      </c>
      <c r="I33" s="23" t="s">
        <v>9</v>
      </c>
      <c r="J33" s="21" t="s">
        <v>10</v>
      </c>
      <c r="K33" s="21" t="s">
        <v>11</v>
      </c>
      <c r="L33" s="21" t="s">
        <v>12</v>
      </c>
      <c r="M33" s="23" t="s">
        <v>13</v>
      </c>
      <c r="N33" s="8"/>
    </row>
    <row r="34" spans="2:14" ht="15" customHeight="1">
      <c r="B34" s="27" t="s">
        <v>15</v>
      </c>
      <c r="C34" s="18" t="s">
        <v>50</v>
      </c>
      <c r="D34" s="24">
        <v>263</v>
      </c>
      <c r="E34" s="25">
        <v>0.39900000000000002</v>
      </c>
      <c r="F34" s="25">
        <v>0.83399999999999996</v>
      </c>
      <c r="G34" s="24">
        <v>254</v>
      </c>
      <c r="H34" s="26">
        <v>2</v>
      </c>
      <c r="I34" s="26">
        <v>5.0999999999999996</v>
      </c>
      <c r="J34" s="24">
        <v>338</v>
      </c>
      <c r="K34" s="24">
        <v>17</v>
      </c>
      <c r="L34" s="24">
        <v>2226</v>
      </c>
      <c r="M34" s="26">
        <f>L34/D34</f>
        <v>8.4638783269961984</v>
      </c>
      <c r="N34" s="12"/>
    </row>
    <row r="35" spans="2:14" ht="15" customHeight="1">
      <c r="B35" s="6"/>
      <c r="C35" s="5"/>
      <c r="D35" s="6"/>
      <c r="E35" s="7"/>
      <c r="F35" s="7"/>
      <c r="G35" s="6"/>
      <c r="H35" s="8"/>
      <c r="I35" s="8"/>
      <c r="J35" s="6"/>
      <c r="K35" s="6"/>
      <c r="L35" s="6"/>
      <c r="M35" s="8"/>
      <c r="N35" s="8"/>
    </row>
    <row r="36" spans="2:14" ht="15" customHeight="1">
      <c r="B36" s="30" t="s">
        <v>323</v>
      </c>
    </row>
    <row r="37" spans="2:14" ht="15" customHeight="1">
      <c r="B37" s="19" t="s">
        <v>2</v>
      </c>
      <c r="C37" s="20" t="s">
        <v>3</v>
      </c>
      <c r="D37" s="21" t="s">
        <v>4</v>
      </c>
      <c r="E37" s="22" t="s">
        <v>5</v>
      </c>
      <c r="F37" s="22" t="s">
        <v>6</v>
      </c>
      <c r="G37" s="21" t="s">
        <v>7</v>
      </c>
      <c r="H37" s="23" t="s">
        <v>8</v>
      </c>
      <c r="I37" s="23" t="s">
        <v>9</v>
      </c>
      <c r="J37" s="21" t="s">
        <v>10</v>
      </c>
      <c r="K37" s="21" t="s">
        <v>11</v>
      </c>
      <c r="L37" s="21" t="s">
        <v>12</v>
      </c>
      <c r="M37" s="23" t="s">
        <v>13</v>
      </c>
      <c r="N37" s="8"/>
    </row>
    <row r="38" spans="2:14" ht="15" customHeight="1">
      <c r="B38" s="27" t="s">
        <v>15</v>
      </c>
      <c r="C38" s="18" t="s">
        <v>96</v>
      </c>
      <c r="D38" s="24">
        <v>482</v>
      </c>
      <c r="E38" s="25">
        <v>0.40400000000000003</v>
      </c>
      <c r="F38" s="25">
        <v>0.85899999999999999</v>
      </c>
      <c r="G38" s="24">
        <v>906</v>
      </c>
      <c r="H38" s="26">
        <v>2.9</v>
      </c>
      <c r="I38" s="26">
        <v>2.6</v>
      </c>
      <c r="J38" s="24">
        <v>408</v>
      </c>
      <c r="K38" s="24">
        <v>78</v>
      </c>
      <c r="L38" s="24">
        <v>6452</v>
      </c>
      <c r="M38" s="26">
        <f>L38/D38</f>
        <v>13.385892116182573</v>
      </c>
      <c r="N38" s="12"/>
    </row>
    <row r="39" spans="2:14" ht="15" customHeight="1">
      <c r="B39" s="9"/>
      <c r="D39" s="10"/>
      <c r="E39" s="11"/>
      <c r="F39" s="11"/>
      <c r="G39" s="10"/>
      <c r="H39" s="12"/>
      <c r="I39" s="12"/>
      <c r="J39" s="10"/>
      <c r="K39" s="10"/>
      <c r="L39" s="10"/>
      <c r="M39" s="12"/>
      <c r="N39" s="12"/>
    </row>
    <row r="40" spans="2:14" ht="15" customHeight="1">
      <c r="B40" s="30" t="s">
        <v>324</v>
      </c>
    </row>
    <row r="41" spans="2:14" ht="15" customHeight="1">
      <c r="B41" s="19" t="s">
        <v>2</v>
      </c>
      <c r="C41" s="20" t="s">
        <v>3</v>
      </c>
      <c r="D41" s="21" t="s">
        <v>4</v>
      </c>
      <c r="E41" s="22" t="s">
        <v>5</v>
      </c>
      <c r="F41" s="22" t="s">
        <v>6</v>
      </c>
      <c r="G41" s="21" t="s">
        <v>7</v>
      </c>
      <c r="H41" s="23" t="s">
        <v>8</v>
      </c>
      <c r="I41" s="23" t="s">
        <v>9</v>
      </c>
      <c r="J41" s="21" t="s">
        <v>10</v>
      </c>
      <c r="K41" s="21" t="s">
        <v>11</v>
      </c>
      <c r="L41" s="21" t="s">
        <v>12</v>
      </c>
      <c r="M41" s="23" t="s">
        <v>13</v>
      </c>
      <c r="N41" s="8"/>
    </row>
    <row r="42" spans="2:14" ht="15" customHeight="1">
      <c r="B42" s="27" t="s">
        <v>15</v>
      </c>
      <c r="C42" s="18" t="s">
        <v>162</v>
      </c>
      <c r="D42" s="24">
        <v>317</v>
      </c>
      <c r="E42" s="25">
        <v>0.46</v>
      </c>
      <c r="F42" s="25">
        <v>0.84199999999999997</v>
      </c>
      <c r="G42" s="24">
        <v>436</v>
      </c>
      <c r="H42" s="26">
        <v>7.7</v>
      </c>
      <c r="I42" s="26">
        <v>1.4</v>
      </c>
      <c r="J42" s="24">
        <v>360</v>
      </c>
      <c r="K42" s="24">
        <v>586</v>
      </c>
      <c r="L42" s="24">
        <v>6007</v>
      </c>
      <c r="M42" s="26">
        <f>L42/D42</f>
        <v>18.949526813880126</v>
      </c>
      <c r="N42" s="12"/>
    </row>
    <row r="43" spans="2:14" ht="15" customHeight="1">
      <c r="B43" s="15"/>
      <c r="C43" s="5"/>
      <c r="D43" s="5"/>
      <c r="E43" s="16"/>
      <c r="F43" s="16"/>
      <c r="G43" s="5"/>
      <c r="H43" s="17"/>
      <c r="I43" s="17"/>
      <c r="J43" s="5"/>
      <c r="K43" s="5"/>
      <c r="L43" s="17"/>
      <c r="M43" s="17"/>
      <c r="N43" s="17"/>
    </row>
    <row r="44" spans="2:14" ht="15" customHeight="1">
      <c r="B44" s="30" t="s">
        <v>325</v>
      </c>
    </row>
    <row r="45" spans="2:14" ht="15" customHeight="1">
      <c r="B45" s="19" t="s">
        <v>2</v>
      </c>
      <c r="C45" s="20" t="s">
        <v>3</v>
      </c>
      <c r="D45" s="21" t="s">
        <v>4</v>
      </c>
      <c r="E45" s="22" t="s">
        <v>5</v>
      </c>
      <c r="F45" s="22" t="s">
        <v>6</v>
      </c>
      <c r="G45" s="21" t="s">
        <v>7</v>
      </c>
      <c r="H45" s="23" t="s">
        <v>8</v>
      </c>
      <c r="I45" s="23" t="s">
        <v>9</v>
      </c>
      <c r="J45" s="21" t="s">
        <v>10</v>
      </c>
      <c r="K45" s="21" t="s">
        <v>11</v>
      </c>
      <c r="L45" s="21" t="s">
        <v>12</v>
      </c>
      <c r="M45" s="23" t="s">
        <v>13</v>
      </c>
      <c r="N45" s="8"/>
    </row>
    <row r="46" spans="2:14" ht="15" customHeight="1">
      <c r="B46" s="27" t="s">
        <v>15</v>
      </c>
      <c r="C46" s="18" t="s">
        <v>96</v>
      </c>
      <c r="D46" s="24">
        <v>480</v>
      </c>
      <c r="E46" s="25">
        <v>0.46100000000000002</v>
      </c>
      <c r="F46" s="25">
        <v>0.81200000000000006</v>
      </c>
      <c r="G46" s="24">
        <v>194</v>
      </c>
      <c r="H46" s="26">
        <v>3.8</v>
      </c>
      <c r="I46" s="26">
        <v>4.9000000000000004</v>
      </c>
      <c r="J46" s="24">
        <v>500</v>
      </c>
      <c r="K46" s="24">
        <v>41</v>
      </c>
      <c r="L46" s="24">
        <v>5523</v>
      </c>
      <c r="M46" s="26">
        <f>L46/D46</f>
        <v>11.50625</v>
      </c>
      <c r="N46" s="12"/>
    </row>
    <row r="47" spans="2:14" ht="15" customHeight="1">
      <c r="B47" s="9"/>
      <c r="D47" s="10"/>
      <c r="E47" s="11"/>
      <c r="F47" s="11"/>
      <c r="G47" s="10"/>
      <c r="H47" s="12"/>
      <c r="I47" s="12"/>
      <c r="J47" s="10"/>
      <c r="K47" s="10"/>
      <c r="L47" s="10"/>
      <c r="M47" s="12"/>
      <c r="N47" s="12"/>
    </row>
    <row r="48" spans="2:14" ht="15" customHeight="1">
      <c r="B48" s="30" t="s">
        <v>326</v>
      </c>
    </row>
    <row r="49" spans="2:14" ht="15" customHeight="1">
      <c r="B49" s="19" t="s">
        <v>2</v>
      </c>
      <c r="C49" s="20" t="s">
        <v>3</v>
      </c>
      <c r="D49" s="21" t="s">
        <v>4</v>
      </c>
      <c r="E49" s="22" t="s">
        <v>5</v>
      </c>
      <c r="F49" s="22" t="s">
        <v>6</v>
      </c>
      <c r="G49" s="21" t="s">
        <v>7</v>
      </c>
      <c r="H49" s="23" t="s">
        <v>8</v>
      </c>
      <c r="I49" s="23" t="s">
        <v>9</v>
      </c>
      <c r="J49" s="21" t="s">
        <v>10</v>
      </c>
      <c r="K49" s="21" t="s">
        <v>11</v>
      </c>
      <c r="L49" s="21" t="s">
        <v>12</v>
      </c>
      <c r="M49" s="23" t="s">
        <v>13</v>
      </c>
      <c r="N49" s="8"/>
    </row>
    <row r="50" spans="2:14" ht="15" customHeight="1">
      <c r="B50" s="27" t="s">
        <v>15</v>
      </c>
      <c r="C50" s="18" t="s">
        <v>96</v>
      </c>
      <c r="D50" s="24">
        <v>457</v>
      </c>
      <c r="E50" s="25">
        <v>0.41499999999999998</v>
      </c>
      <c r="F50" s="25">
        <v>0.84</v>
      </c>
      <c r="G50" s="24">
        <v>606</v>
      </c>
      <c r="H50" s="26">
        <v>7.3</v>
      </c>
      <c r="I50" s="26">
        <v>3.3</v>
      </c>
      <c r="J50" s="24">
        <v>1074</v>
      </c>
      <c r="K50" s="24">
        <v>385</v>
      </c>
      <c r="L50" s="24">
        <v>7380</v>
      </c>
      <c r="M50" s="26">
        <f>L50/D50</f>
        <v>16.148796498905909</v>
      </c>
      <c r="N50" s="12"/>
    </row>
    <row r="51" spans="2:14" ht="15" customHeight="1">
      <c r="D51" s="10"/>
      <c r="E51" s="11"/>
      <c r="F51" s="11"/>
      <c r="G51" s="10"/>
      <c r="H51" s="12"/>
      <c r="I51" s="12"/>
      <c r="J51" s="10"/>
      <c r="K51" s="10"/>
      <c r="L51" s="10"/>
      <c r="M51" s="12"/>
      <c r="N51" s="12"/>
    </row>
    <row r="52" spans="2:14" ht="15" customHeight="1">
      <c r="B52" s="30" t="s">
        <v>327</v>
      </c>
    </row>
    <row r="53" spans="2:14" ht="15" customHeight="1">
      <c r="B53" s="19" t="s">
        <v>2</v>
      </c>
      <c r="C53" s="20" t="s">
        <v>3</v>
      </c>
      <c r="D53" s="21" t="s">
        <v>4</v>
      </c>
      <c r="E53" s="22" t="s">
        <v>5</v>
      </c>
      <c r="F53" s="22" t="s">
        <v>6</v>
      </c>
      <c r="G53" s="21" t="s">
        <v>7</v>
      </c>
      <c r="H53" s="23" t="s">
        <v>8</v>
      </c>
      <c r="I53" s="23" t="s">
        <v>9</v>
      </c>
      <c r="J53" s="21" t="s">
        <v>10</v>
      </c>
      <c r="K53" s="21" t="s">
        <v>11</v>
      </c>
      <c r="L53" s="21" t="s">
        <v>12</v>
      </c>
      <c r="M53" s="23" t="s">
        <v>13</v>
      </c>
      <c r="N53" s="8"/>
    </row>
    <row r="54" spans="2:14" ht="15" customHeight="1">
      <c r="B54" s="27" t="s">
        <v>15</v>
      </c>
      <c r="C54" s="18" t="s">
        <v>38</v>
      </c>
      <c r="D54" s="24">
        <v>68</v>
      </c>
      <c r="E54" s="25">
        <v>0.372</v>
      </c>
      <c r="F54" s="25">
        <v>0.74299999999999999</v>
      </c>
      <c r="G54" s="24">
        <v>49</v>
      </c>
      <c r="H54" s="26">
        <v>2.9</v>
      </c>
      <c r="I54" s="26">
        <v>3.3</v>
      </c>
      <c r="J54" s="24">
        <v>88</v>
      </c>
      <c r="K54" s="24">
        <v>19</v>
      </c>
      <c r="L54" s="24">
        <v>375</v>
      </c>
      <c r="M54" s="26">
        <f>L54/D54</f>
        <v>5.5147058823529411</v>
      </c>
      <c r="N54" s="12"/>
    </row>
    <row r="55" spans="2:14" ht="15" customHeight="1">
      <c r="B55" s="9"/>
      <c r="D55" s="10"/>
      <c r="E55" s="11"/>
      <c r="F55" s="11"/>
      <c r="G55" s="10"/>
      <c r="H55" s="12"/>
      <c r="I55" s="12"/>
      <c r="J55" s="10"/>
      <c r="K55" s="10"/>
      <c r="L55" s="10"/>
      <c r="M55" s="12"/>
      <c r="N55" s="12"/>
    </row>
    <row r="56" spans="2:14" ht="15" customHeight="1">
      <c r="B56" s="32" t="s">
        <v>328</v>
      </c>
    </row>
    <row r="57" spans="2:14" ht="15" customHeight="1">
      <c r="B57" s="19" t="s">
        <v>2</v>
      </c>
      <c r="C57" s="20" t="s">
        <v>3</v>
      </c>
      <c r="D57" s="21" t="s">
        <v>4</v>
      </c>
      <c r="E57" s="22" t="s">
        <v>5</v>
      </c>
      <c r="F57" s="22" t="s">
        <v>6</v>
      </c>
      <c r="G57" s="21" t="s">
        <v>7</v>
      </c>
      <c r="H57" s="23" t="s">
        <v>8</v>
      </c>
      <c r="I57" s="23" t="s">
        <v>9</v>
      </c>
      <c r="J57" s="21" t="s">
        <v>10</v>
      </c>
      <c r="K57" s="21" t="s">
        <v>11</v>
      </c>
      <c r="L57" s="21" t="s">
        <v>12</v>
      </c>
      <c r="M57" s="23" t="s">
        <v>13</v>
      </c>
      <c r="N57" s="8"/>
    </row>
    <row r="58" spans="2:14" ht="15" customHeight="1">
      <c r="B58" s="27" t="s">
        <v>15</v>
      </c>
      <c r="C58" s="18" t="s">
        <v>25</v>
      </c>
      <c r="D58" s="24">
        <v>254</v>
      </c>
      <c r="E58" s="25">
        <v>0.41099999999999998</v>
      </c>
      <c r="F58" s="25">
        <v>0.65800000000000003</v>
      </c>
      <c r="G58" s="24">
        <v>74</v>
      </c>
      <c r="H58" s="26">
        <v>3.1</v>
      </c>
      <c r="I58" s="26">
        <v>5.3</v>
      </c>
      <c r="J58" s="24">
        <v>465</v>
      </c>
      <c r="K58" s="24">
        <v>23</v>
      </c>
      <c r="L58" s="24">
        <v>1264</v>
      </c>
      <c r="M58" s="26">
        <f>L58/D58</f>
        <v>4.9763779527559056</v>
      </c>
      <c r="N58" s="12"/>
    </row>
    <row r="59" spans="2:14" ht="15" customHeight="1">
      <c r="B59" s="15"/>
      <c r="C59" s="5"/>
      <c r="D59" s="5"/>
      <c r="E59" s="16"/>
      <c r="F59" s="16"/>
      <c r="G59" s="5"/>
      <c r="H59" s="17"/>
      <c r="I59" s="17"/>
      <c r="J59" s="5"/>
      <c r="K59" s="5"/>
      <c r="L59" s="5"/>
      <c r="M59" s="17"/>
      <c r="N59" s="17"/>
    </row>
    <row r="60" spans="2:14" ht="15" customHeight="1">
      <c r="B60" s="30" t="s">
        <v>329</v>
      </c>
    </row>
    <row r="61" spans="2:14" ht="15" customHeight="1">
      <c r="B61" s="19" t="s">
        <v>2</v>
      </c>
      <c r="C61" s="20" t="s">
        <v>3</v>
      </c>
      <c r="D61" s="21" t="s">
        <v>4</v>
      </c>
      <c r="E61" s="22" t="s">
        <v>5</v>
      </c>
      <c r="F61" s="22" t="s">
        <v>6</v>
      </c>
      <c r="G61" s="21" t="s">
        <v>7</v>
      </c>
      <c r="H61" s="23" t="s">
        <v>8</v>
      </c>
      <c r="I61" s="23" t="s">
        <v>9</v>
      </c>
      <c r="J61" s="21" t="s">
        <v>10</v>
      </c>
      <c r="K61" s="21" t="s">
        <v>11</v>
      </c>
      <c r="L61" s="21" t="s">
        <v>12</v>
      </c>
      <c r="M61" s="23" t="s">
        <v>13</v>
      </c>
      <c r="N61" s="8"/>
    </row>
    <row r="62" spans="2:14" ht="15" customHeight="1">
      <c r="B62" s="27" t="s">
        <v>15</v>
      </c>
      <c r="C62" s="18" t="s">
        <v>96</v>
      </c>
      <c r="D62" s="24">
        <v>454</v>
      </c>
      <c r="E62" s="25">
        <v>0.35099999999999998</v>
      </c>
      <c r="F62" s="25">
        <v>0.73099999999999998</v>
      </c>
      <c r="G62" s="24">
        <v>128</v>
      </c>
      <c r="H62" s="26">
        <v>3.3</v>
      </c>
      <c r="I62" s="26">
        <v>5.7</v>
      </c>
      <c r="J62" s="24">
        <v>764</v>
      </c>
      <c r="K62" s="24">
        <v>51</v>
      </c>
      <c r="L62" s="24">
        <v>2747</v>
      </c>
      <c r="M62" s="26">
        <f>L62/D62</f>
        <v>6.0506607929515415</v>
      </c>
      <c r="N62" s="12"/>
    </row>
    <row r="63" spans="2:14" ht="15" customHeight="1">
      <c r="B63" s="9"/>
      <c r="D63" s="10"/>
      <c r="E63" s="11"/>
      <c r="F63" s="11"/>
      <c r="G63" s="10"/>
      <c r="H63" s="12"/>
      <c r="I63" s="12"/>
      <c r="J63" s="10"/>
      <c r="K63" s="10"/>
      <c r="L63" s="10"/>
      <c r="M63" s="12"/>
      <c r="N63" s="12"/>
    </row>
    <row r="64" spans="2:14" ht="15" customHeight="1">
      <c r="B64" s="30" t="s">
        <v>330</v>
      </c>
    </row>
    <row r="65" spans="2:14" ht="15" customHeight="1">
      <c r="B65" s="19" t="s">
        <v>2</v>
      </c>
      <c r="C65" s="20" t="s">
        <v>3</v>
      </c>
      <c r="D65" s="21" t="s">
        <v>4</v>
      </c>
      <c r="E65" s="22" t="s">
        <v>5</v>
      </c>
      <c r="F65" s="22" t="s">
        <v>6</v>
      </c>
      <c r="G65" s="21" t="s">
        <v>7</v>
      </c>
      <c r="H65" s="23" t="s">
        <v>8</v>
      </c>
      <c r="I65" s="23" t="s">
        <v>9</v>
      </c>
      <c r="J65" s="21" t="s">
        <v>10</v>
      </c>
      <c r="K65" s="21" t="s">
        <v>11</v>
      </c>
      <c r="L65" s="21" t="s">
        <v>12</v>
      </c>
      <c r="M65" s="23" t="s">
        <v>13</v>
      </c>
      <c r="N65" s="8"/>
    </row>
    <row r="66" spans="2:14" ht="15" customHeight="1">
      <c r="B66" s="27" t="s">
        <v>15</v>
      </c>
      <c r="C66" s="18" t="s">
        <v>331</v>
      </c>
      <c r="D66" s="24">
        <v>496</v>
      </c>
      <c r="E66" s="25">
        <v>0.41699999999999998</v>
      </c>
      <c r="F66" s="25">
        <v>0.83199999999999996</v>
      </c>
      <c r="G66" s="24">
        <v>748</v>
      </c>
      <c r="H66" s="26">
        <v>6.2</v>
      </c>
      <c r="I66" s="26">
        <v>1.6</v>
      </c>
      <c r="J66" s="24">
        <v>453</v>
      </c>
      <c r="K66" s="24">
        <v>372</v>
      </c>
      <c r="L66" s="24">
        <v>7488</v>
      </c>
      <c r="M66" s="26">
        <f>L66/D66</f>
        <v>15.096774193548388</v>
      </c>
      <c r="N66" s="12"/>
    </row>
    <row r="67" spans="2:14" ht="15" customHeight="1">
      <c r="B67" s="9"/>
      <c r="D67" s="10"/>
      <c r="E67" s="11"/>
      <c r="F67" s="11"/>
      <c r="G67" s="10"/>
      <c r="H67" s="12"/>
      <c r="I67" s="12"/>
      <c r="J67" s="10"/>
      <c r="K67" s="10"/>
      <c r="L67" s="10"/>
      <c r="M67" s="12"/>
      <c r="N67" s="12"/>
    </row>
    <row r="68" spans="2:14" ht="15" customHeight="1">
      <c r="B68" s="30" t="s">
        <v>332</v>
      </c>
    </row>
    <row r="69" spans="2:14" ht="15" customHeight="1">
      <c r="B69" s="19" t="s">
        <v>2</v>
      </c>
      <c r="C69" s="20" t="s">
        <v>3</v>
      </c>
      <c r="D69" s="21" t="s">
        <v>4</v>
      </c>
      <c r="E69" s="22" t="s">
        <v>5</v>
      </c>
      <c r="F69" s="22" t="s">
        <v>6</v>
      </c>
      <c r="G69" s="21" t="s">
        <v>7</v>
      </c>
      <c r="H69" s="23" t="s">
        <v>8</v>
      </c>
      <c r="I69" s="23" t="s">
        <v>9</v>
      </c>
      <c r="J69" s="21" t="s">
        <v>10</v>
      </c>
      <c r="K69" s="21" t="s">
        <v>11</v>
      </c>
      <c r="L69" s="21" t="s">
        <v>12</v>
      </c>
      <c r="M69" s="23" t="s">
        <v>13</v>
      </c>
      <c r="N69" s="8"/>
    </row>
    <row r="70" spans="2:14" ht="15" customHeight="1">
      <c r="B70" s="27" t="s">
        <v>15</v>
      </c>
      <c r="C70" s="18" t="s">
        <v>16</v>
      </c>
      <c r="D70" s="24">
        <v>311</v>
      </c>
      <c r="E70" s="25">
        <v>0.50600000000000001</v>
      </c>
      <c r="F70" s="25">
        <v>0.71299999999999997</v>
      </c>
      <c r="G70" s="24">
        <v>0</v>
      </c>
      <c r="H70" s="26">
        <v>7.9</v>
      </c>
      <c r="I70" s="26">
        <v>1.5</v>
      </c>
      <c r="J70" s="24">
        <v>529</v>
      </c>
      <c r="K70" s="24">
        <v>323</v>
      </c>
      <c r="L70" s="24">
        <v>4238</v>
      </c>
      <c r="M70" s="26">
        <f>L70/D70</f>
        <v>13.62700964630225</v>
      </c>
      <c r="N70" s="12"/>
    </row>
    <row r="71" spans="2:14" ht="15" customHeight="1">
      <c r="B71" s="4"/>
      <c r="C71" s="5"/>
      <c r="D71" s="6"/>
      <c r="E71" s="7"/>
      <c r="F71" s="7"/>
      <c r="G71" s="6"/>
      <c r="H71" s="8"/>
      <c r="I71" s="8"/>
      <c r="J71" s="6"/>
      <c r="K71" s="6"/>
      <c r="L71" s="6"/>
      <c r="M71" s="8"/>
      <c r="N71" s="8"/>
    </row>
    <row r="72" spans="2:14" ht="15" customHeight="1">
      <c r="B72" s="30" t="s">
        <v>333</v>
      </c>
    </row>
    <row r="73" spans="2:14" ht="15" customHeight="1">
      <c r="B73" s="19" t="s">
        <v>2</v>
      </c>
      <c r="C73" s="20" t="s">
        <v>3</v>
      </c>
      <c r="D73" s="21" t="s">
        <v>4</v>
      </c>
      <c r="E73" s="22" t="s">
        <v>5</v>
      </c>
      <c r="F73" s="22" t="s">
        <v>6</v>
      </c>
      <c r="G73" s="21" t="s">
        <v>7</v>
      </c>
      <c r="H73" s="23" t="s">
        <v>8</v>
      </c>
      <c r="I73" s="23" t="s">
        <v>9</v>
      </c>
      <c r="J73" s="21" t="s">
        <v>10</v>
      </c>
      <c r="K73" s="21" t="s">
        <v>11</v>
      </c>
      <c r="L73" s="21" t="s">
        <v>12</v>
      </c>
      <c r="M73" s="23" t="s">
        <v>13</v>
      </c>
      <c r="N73" s="8"/>
    </row>
    <row r="74" spans="2:14" ht="15" customHeight="1">
      <c r="B74" s="27" t="s">
        <v>15</v>
      </c>
      <c r="C74" s="18" t="s">
        <v>42</v>
      </c>
      <c r="D74" s="24">
        <v>416</v>
      </c>
      <c r="E74" s="25">
        <v>0.42199999999999999</v>
      </c>
      <c r="F74" s="25">
        <v>0.84199999999999997</v>
      </c>
      <c r="G74" s="24">
        <v>464</v>
      </c>
      <c r="H74" s="26">
        <v>3.7</v>
      </c>
      <c r="I74" s="26">
        <v>3.8</v>
      </c>
      <c r="J74" s="24">
        <v>409</v>
      </c>
      <c r="K74" s="24">
        <v>72</v>
      </c>
      <c r="L74" s="24">
        <v>6811</v>
      </c>
      <c r="M74" s="26">
        <f>L74/D74</f>
        <v>16.372596153846153</v>
      </c>
      <c r="N74" s="12"/>
    </row>
    <row r="75" spans="2:14" ht="15" customHeight="1"/>
    <row r="76" spans="2:14" ht="15" customHeight="1">
      <c r="B76" s="30" t="s">
        <v>334</v>
      </c>
    </row>
    <row r="77" spans="2:14" ht="15" customHeight="1">
      <c r="B77" s="19" t="s">
        <v>2</v>
      </c>
      <c r="C77" s="20" t="s">
        <v>3</v>
      </c>
      <c r="D77" s="21" t="s">
        <v>4</v>
      </c>
      <c r="E77" s="22" t="s">
        <v>5</v>
      </c>
      <c r="F77" s="22" t="s">
        <v>6</v>
      </c>
      <c r="G77" s="21" t="s">
        <v>7</v>
      </c>
      <c r="H77" s="23" t="s">
        <v>8</v>
      </c>
      <c r="I77" s="23" t="s">
        <v>9</v>
      </c>
      <c r="J77" s="21" t="s">
        <v>10</v>
      </c>
      <c r="K77" s="21" t="s">
        <v>11</v>
      </c>
      <c r="L77" s="21" t="s">
        <v>12</v>
      </c>
      <c r="M77" s="23" t="s">
        <v>13</v>
      </c>
      <c r="N77" s="8"/>
    </row>
    <row r="78" spans="2:14" ht="15" customHeight="1">
      <c r="B78" s="27" t="s">
        <v>15</v>
      </c>
      <c r="C78" s="18" t="s">
        <v>59</v>
      </c>
      <c r="D78" s="24">
        <v>419</v>
      </c>
      <c r="E78" s="25">
        <v>0.435</v>
      </c>
      <c r="F78" s="25">
        <v>0.76600000000000001</v>
      </c>
      <c r="G78" s="24">
        <v>288</v>
      </c>
      <c r="H78" s="26">
        <v>3.4</v>
      </c>
      <c r="I78" s="26">
        <v>2.5</v>
      </c>
      <c r="J78" s="24">
        <v>710</v>
      </c>
      <c r="K78" s="24">
        <v>220</v>
      </c>
      <c r="L78" s="24">
        <v>4740</v>
      </c>
      <c r="M78" s="26">
        <f>L78/D78</f>
        <v>11.312649164677804</v>
      </c>
      <c r="N78" s="12"/>
    </row>
    <row r="79" spans="2:14" s="28" customFormat="1" ht="15" customHeight="1">
      <c r="B79" s="9"/>
      <c r="C79" s="1"/>
      <c r="D79" s="10"/>
      <c r="E79" s="11"/>
      <c r="F79" s="11"/>
      <c r="G79" s="10"/>
      <c r="H79" s="12"/>
      <c r="I79" s="12"/>
      <c r="J79" s="10"/>
      <c r="K79" s="10"/>
      <c r="L79" s="10"/>
      <c r="M79" s="12"/>
      <c r="N79" s="12"/>
    </row>
    <row r="80" spans="2:14" ht="15" customHeight="1">
      <c r="B80" s="30" t="s">
        <v>335</v>
      </c>
    </row>
    <row r="81" spans="2:14" ht="15" customHeight="1">
      <c r="B81" s="19" t="s">
        <v>2</v>
      </c>
      <c r="C81" s="20" t="s">
        <v>3</v>
      </c>
      <c r="D81" s="21" t="s">
        <v>4</v>
      </c>
      <c r="E81" s="22" t="s">
        <v>5</v>
      </c>
      <c r="F81" s="22" t="s">
        <v>6</v>
      </c>
      <c r="G81" s="21" t="s">
        <v>7</v>
      </c>
      <c r="H81" s="23" t="s">
        <v>8</v>
      </c>
      <c r="I81" s="23" t="s">
        <v>9</v>
      </c>
      <c r="J81" s="21" t="s">
        <v>10</v>
      </c>
      <c r="K81" s="21" t="s">
        <v>11</v>
      </c>
      <c r="L81" s="21" t="s">
        <v>12</v>
      </c>
      <c r="M81" s="23" t="s">
        <v>13</v>
      </c>
      <c r="N81" s="8"/>
    </row>
    <row r="82" spans="2:14" ht="15" customHeight="1">
      <c r="B82" s="27" t="s">
        <v>15</v>
      </c>
      <c r="C82" s="18" t="s">
        <v>96</v>
      </c>
      <c r="D82" s="24">
        <v>453</v>
      </c>
      <c r="E82" s="25">
        <v>0.46600000000000003</v>
      </c>
      <c r="F82" s="25">
        <v>0.69199999999999995</v>
      </c>
      <c r="G82" s="24">
        <v>43</v>
      </c>
      <c r="H82" s="26">
        <v>7.4</v>
      </c>
      <c r="I82" s="26">
        <v>1.1000000000000001</v>
      </c>
      <c r="J82" s="24">
        <v>459</v>
      </c>
      <c r="K82" s="24">
        <v>284</v>
      </c>
      <c r="L82" s="24">
        <v>4147</v>
      </c>
      <c r="M82" s="26">
        <f>L82/D82</f>
        <v>9.1545253863134661</v>
      </c>
      <c r="N82" s="12"/>
    </row>
    <row r="83" spans="2:14" ht="15" customHeight="1"/>
    <row r="84" spans="2:14" ht="15" customHeight="1">
      <c r="B84" s="30" t="s">
        <v>336</v>
      </c>
    </row>
    <row r="85" spans="2:14" ht="15" customHeight="1">
      <c r="B85" s="19" t="s">
        <v>2</v>
      </c>
      <c r="C85" s="20" t="s">
        <v>3</v>
      </c>
      <c r="D85" s="21" t="s">
        <v>4</v>
      </c>
      <c r="E85" s="22" t="s">
        <v>5</v>
      </c>
      <c r="F85" s="22" t="s">
        <v>6</v>
      </c>
      <c r="G85" s="21" t="s">
        <v>7</v>
      </c>
      <c r="H85" s="23" t="s">
        <v>8</v>
      </c>
      <c r="I85" s="23" t="s">
        <v>9</v>
      </c>
      <c r="J85" s="21" t="s">
        <v>10</v>
      </c>
      <c r="K85" s="21" t="s">
        <v>11</v>
      </c>
      <c r="L85" s="21" t="s">
        <v>12</v>
      </c>
      <c r="M85" s="23" t="s">
        <v>13</v>
      </c>
      <c r="N85" s="8"/>
    </row>
    <row r="86" spans="2:14" ht="15" customHeight="1">
      <c r="B86" s="27" t="s">
        <v>15</v>
      </c>
      <c r="C86" s="18" t="s">
        <v>96</v>
      </c>
      <c r="D86" s="24">
        <v>392</v>
      </c>
      <c r="E86" s="25">
        <v>0.47299999999999998</v>
      </c>
      <c r="F86" s="25">
        <v>0.70399999999999996</v>
      </c>
      <c r="G86" s="24">
        <v>41</v>
      </c>
      <c r="H86" s="26">
        <v>6.6</v>
      </c>
      <c r="I86" s="26">
        <v>1.5</v>
      </c>
      <c r="J86" s="24">
        <v>634</v>
      </c>
      <c r="K86" s="24">
        <v>222</v>
      </c>
      <c r="L86" s="24">
        <v>3482</v>
      </c>
      <c r="M86" s="26">
        <f>L86/D86</f>
        <v>8.8826530612244898</v>
      </c>
      <c r="N86" s="12"/>
    </row>
    <row r="87" spans="2:14" s="28" customFormat="1" ht="15" customHeight="1">
      <c r="B87" s="9"/>
      <c r="C87" s="1"/>
      <c r="D87" s="10"/>
      <c r="E87" s="11"/>
      <c r="F87" s="11"/>
      <c r="G87" s="10"/>
      <c r="H87" s="12"/>
      <c r="I87" s="12"/>
      <c r="J87" s="10"/>
      <c r="K87" s="10"/>
      <c r="L87" s="10"/>
      <c r="M87" s="12"/>
      <c r="N87" s="12"/>
    </row>
    <row r="88" spans="2:14" ht="15" customHeight="1">
      <c r="B88" s="30" t="s">
        <v>337</v>
      </c>
    </row>
    <row r="89" spans="2:14" ht="15" customHeight="1">
      <c r="B89" s="19" t="s">
        <v>2</v>
      </c>
      <c r="C89" s="20" t="s">
        <v>3</v>
      </c>
      <c r="D89" s="21" t="s">
        <v>4</v>
      </c>
      <c r="E89" s="22" t="s">
        <v>5</v>
      </c>
      <c r="F89" s="22" t="s">
        <v>6</v>
      </c>
      <c r="G89" s="21" t="s">
        <v>7</v>
      </c>
      <c r="H89" s="23" t="s">
        <v>8</v>
      </c>
      <c r="I89" s="23" t="s">
        <v>9</v>
      </c>
      <c r="J89" s="21" t="s">
        <v>10</v>
      </c>
      <c r="K89" s="21" t="s">
        <v>11</v>
      </c>
      <c r="L89" s="21" t="s">
        <v>12</v>
      </c>
      <c r="M89" s="23" t="s">
        <v>13</v>
      </c>
      <c r="N89" s="8"/>
    </row>
    <row r="90" spans="2:14" ht="15" customHeight="1">
      <c r="B90" s="27" t="s">
        <v>15</v>
      </c>
      <c r="C90" s="18" t="s">
        <v>42</v>
      </c>
      <c r="D90" s="24">
        <v>431</v>
      </c>
      <c r="E90" s="25">
        <v>0.44400000000000001</v>
      </c>
      <c r="F90" s="25">
        <v>0.71899999999999997</v>
      </c>
      <c r="G90" s="24">
        <v>179</v>
      </c>
      <c r="H90" s="26">
        <v>4.2</v>
      </c>
      <c r="I90" s="26">
        <v>1.4</v>
      </c>
      <c r="J90" s="24">
        <v>437</v>
      </c>
      <c r="K90" s="24">
        <v>169</v>
      </c>
      <c r="L90" s="24">
        <v>3551</v>
      </c>
      <c r="M90" s="26">
        <f>L90/D90</f>
        <v>8.2389791183294658</v>
      </c>
      <c r="N90" s="12"/>
    </row>
    <row r="91" spans="2:14" ht="15" customHeight="1"/>
    <row r="92" spans="2:14" ht="15" customHeight="1">
      <c r="B92" s="30" t="s">
        <v>338</v>
      </c>
    </row>
    <row r="93" spans="2:14" ht="15" customHeight="1">
      <c r="B93" s="19" t="s">
        <v>2</v>
      </c>
      <c r="C93" s="20" t="s">
        <v>3</v>
      </c>
      <c r="D93" s="21" t="s">
        <v>4</v>
      </c>
      <c r="E93" s="22" t="s">
        <v>5</v>
      </c>
      <c r="F93" s="22" t="s">
        <v>6</v>
      </c>
      <c r="G93" s="21" t="s">
        <v>7</v>
      </c>
      <c r="H93" s="23" t="s">
        <v>8</v>
      </c>
      <c r="I93" s="23" t="s">
        <v>9</v>
      </c>
      <c r="J93" s="21" t="s">
        <v>10</v>
      </c>
      <c r="K93" s="21" t="s">
        <v>11</v>
      </c>
      <c r="L93" s="21" t="s">
        <v>12</v>
      </c>
      <c r="M93" s="23" t="s">
        <v>13</v>
      </c>
      <c r="N93" s="8"/>
    </row>
    <row r="94" spans="2:14" ht="15" customHeight="1">
      <c r="B94" s="27" t="s">
        <v>15</v>
      </c>
      <c r="C94" s="18" t="s">
        <v>42</v>
      </c>
      <c r="D94" s="24">
        <v>411</v>
      </c>
      <c r="E94" s="25">
        <v>0.40100000000000002</v>
      </c>
      <c r="F94" s="25">
        <v>0.82299999999999995</v>
      </c>
      <c r="G94" s="24">
        <v>284</v>
      </c>
      <c r="H94" s="26">
        <v>4.0999999999999996</v>
      </c>
      <c r="I94" s="26">
        <v>1.8</v>
      </c>
      <c r="J94" s="24">
        <v>378</v>
      </c>
      <c r="K94" s="24">
        <v>114</v>
      </c>
      <c r="L94" s="24">
        <v>4253</v>
      </c>
      <c r="M94" s="26">
        <f>L94/D94</f>
        <v>10.347931873479318</v>
      </c>
      <c r="N94" s="12"/>
    </row>
    <row r="95" spans="2:14" ht="15" customHeight="1">
      <c r="B95" s="29"/>
    </row>
    <row r="96" spans="2:14" ht="15" customHeight="1">
      <c r="B96" s="30" t="s">
        <v>339</v>
      </c>
    </row>
    <row r="97" spans="2:14" ht="15" customHeight="1">
      <c r="B97" s="19" t="s">
        <v>2</v>
      </c>
      <c r="C97" s="20" t="s">
        <v>3</v>
      </c>
      <c r="D97" s="21" t="s">
        <v>4</v>
      </c>
      <c r="E97" s="22" t="s">
        <v>5</v>
      </c>
      <c r="F97" s="22" t="s">
        <v>6</v>
      </c>
      <c r="G97" s="21" t="s">
        <v>7</v>
      </c>
      <c r="H97" s="23" t="s">
        <v>8</v>
      </c>
      <c r="I97" s="23" t="s">
        <v>9</v>
      </c>
      <c r="J97" s="21" t="s">
        <v>10</v>
      </c>
      <c r="K97" s="21" t="s">
        <v>11</v>
      </c>
      <c r="L97" s="21" t="s">
        <v>12</v>
      </c>
      <c r="M97" s="23" t="s">
        <v>13</v>
      </c>
      <c r="N97" s="8"/>
    </row>
    <row r="98" spans="2:14" ht="15" customHeight="1">
      <c r="B98" s="27" t="s">
        <v>15</v>
      </c>
      <c r="C98" s="18" t="s">
        <v>96</v>
      </c>
      <c r="D98" s="24">
        <v>479</v>
      </c>
      <c r="E98" s="25">
        <v>0.40699999999999997</v>
      </c>
      <c r="F98" s="25">
        <v>0.75700000000000001</v>
      </c>
      <c r="G98" s="24">
        <v>176</v>
      </c>
      <c r="H98" s="26">
        <v>5.3</v>
      </c>
      <c r="I98" s="26">
        <v>2.4</v>
      </c>
      <c r="J98" s="24">
        <v>384</v>
      </c>
      <c r="K98" s="24">
        <v>258</v>
      </c>
      <c r="L98" s="24">
        <v>5119</v>
      </c>
      <c r="M98" s="26">
        <f>L98/D98</f>
        <v>10.686847599164928</v>
      </c>
      <c r="N98" s="12"/>
    </row>
    <row r="99" spans="2:14" s="28" customFormat="1" ht="15" customHeight="1">
      <c r="B99" s="9"/>
      <c r="C99" s="1"/>
      <c r="D99" s="10"/>
      <c r="E99" s="11"/>
      <c r="F99" s="11"/>
      <c r="G99" s="10"/>
      <c r="H99" s="12"/>
      <c r="I99" s="12"/>
      <c r="J99" s="10"/>
      <c r="K99" s="10"/>
      <c r="L99" s="10"/>
      <c r="M99" s="12"/>
      <c r="N99" s="12"/>
    </row>
    <row r="100" spans="2:14" ht="15" customHeight="1">
      <c r="B100" s="30" t="s">
        <v>340</v>
      </c>
    </row>
    <row r="101" spans="2:14" ht="15" customHeight="1">
      <c r="B101" s="19" t="s">
        <v>2</v>
      </c>
      <c r="C101" s="20" t="s">
        <v>3</v>
      </c>
      <c r="D101" s="21" t="s">
        <v>4</v>
      </c>
      <c r="E101" s="22" t="s">
        <v>5</v>
      </c>
      <c r="F101" s="22" t="s">
        <v>6</v>
      </c>
      <c r="G101" s="21" t="s">
        <v>7</v>
      </c>
      <c r="H101" s="23" t="s">
        <v>8</v>
      </c>
      <c r="I101" s="23" t="s">
        <v>9</v>
      </c>
      <c r="J101" s="21" t="s">
        <v>10</v>
      </c>
      <c r="K101" s="21" t="s">
        <v>11</v>
      </c>
      <c r="L101" s="21" t="s">
        <v>12</v>
      </c>
      <c r="M101" s="23" t="s">
        <v>13</v>
      </c>
      <c r="N101" s="8"/>
    </row>
    <row r="102" spans="2:14" ht="15" customHeight="1">
      <c r="B102" s="27" t="s">
        <v>15</v>
      </c>
      <c r="C102" s="18" t="s">
        <v>25</v>
      </c>
      <c r="D102" s="24">
        <v>271</v>
      </c>
      <c r="E102" s="25">
        <v>0.45300000000000001</v>
      </c>
      <c r="F102" s="25">
        <v>0.86</v>
      </c>
      <c r="G102" s="24">
        <v>530</v>
      </c>
      <c r="H102" s="26">
        <v>5.9</v>
      </c>
      <c r="I102" s="26">
        <v>3.3</v>
      </c>
      <c r="J102" s="24">
        <v>449</v>
      </c>
      <c r="K102" s="24">
        <v>176</v>
      </c>
      <c r="L102" s="24">
        <v>4984</v>
      </c>
      <c r="M102" s="26">
        <f>L102/D102</f>
        <v>18.391143911439116</v>
      </c>
      <c r="N102" s="12"/>
    </row>
    <row r="103" spans="2:14" ht="15" customHeight="1">
      <c r="D103" s="14"/>
    </row>
    <row r="104" spans="2:14" ht="15" customHeight="1">
      <c r="B104" s="30" t="s">
        <v>341</v>
      </c>
    </row>
    <row r="105" spans="2:14" ht="15" customHeight="1">
      <c r="B105" s="19" t="s">
        <v>2</v>
      </c>
      <c r="C105" s="20" t="s">
        <v>3</v>
      </c>
      <c r="D105" s="21" t="s">
        <v>4</v>
      </c>
      <c r="E105" s="22" t="s">
        <v>5</v>
      </c>
      <c r="F105" s="22" t="s">
        <v>6</v>
      </c>
      <c r="G105" s="21" t="s">
        <v>7</v>
      </c>
      <c r="H105" s="23" t="s">
        <v>8</v>
      </c>
      <c r="I105" s="23" t="s">
        <v>9</v>
      </c>
      <c r="J105" s="21" t="s">
        <v>10</v>
      </c>
      <c r="K105" s="21" t="s">
        <v>11</v>
      </c>
      <c r="L105" s="21" t="s">
        <v>12</v>
      </c>
      <c r="M105" s="23" t="s">
        <v>13</v>
      </c>
      <c r="N105" s="8"/>
    </row>
    <row r="106" spans="2:14" ht="15" customHeight="1">
      <c r="B106" s="27" t="s">
        <v>15</v>
      </c>
      <c r="C106" s="18" t="s">
        <v>96</v>
      </c>
      <c r="D106" s="24">
        <v>391</v>
      </c>
      <c r="E106" s="25">
        <v>0.48</v>
      </c>
      <c r="F106" s="25">
        <v>0.85799999999999998</v>
      </c>
      <c r="G106" s="24">
        <v>293</v>
      </c>
      <c r="H106" s="26">
        <v>3.1</v>
      </c>
      <c r="I106" s="26">
        <v>2.2999999999999998</v>
      </c>
      <c r="J106" s="24">
        <v>281</v>
      </c>
      <c r="K106" s="24">
        <v>132</v>
      </c>
      <c r="L106" s="24">
        <v>6005</v>
      </c>
      <c r="M106" s="26">
        <f>L106/D106</f>
        <v>15.358056265984654</v>
      </c>
      <c r="N106" s="12"/>
    </row>
    <row r="107" spans="2:14" s="28" customFormat="1" ht="15" customHeight="1">
      <c r="B107" s="9"/>
      <c r="C107" s="1"/>
      <c r="D107" s="10"/>
      <c r="E107" s="11"/>
      <c r="F107" s="11"/>
      <c r="G107" s="10"/>
      <c r="H107" s="12"/>
      <c r="I107" s="12"/>
      <c r="J107" s="10"/>
      <c r="K107" s="10"/>
      <c r="L107" s="10"/>
      <c r="M107" s="12"/>
      <c r="N107" s="12"/>
    </row>
    <row r="108" spans="2:14" ht="15" customHeight="1">
      <c r="B108" s="30" t="s">
        <v>342</v>
      </c>
    </row>
    <row r="109" spans="2:14" ht="15" customHeight="1">
      <c r="B109" s="19" t="s">
        <v>2</v>
      </c>
      <c r="C109" s="20" t="s">
        <v>3</v>
      </c>
      <c r="D109" s="21" t="s">
        <v>4</v>
      </c>
      <c r="E109" s="22" t="s">
        <v>5</v>
      </c>
      <c r="F109" s="22" t="s">
        <v>6</v>
      </c>
      <c r="G109" s="21" t="s">
        <v>7</v>
      </c>
      <c r="H109" s="23" t="s">
        <v>8</v>
      </c>
      <c r="I109" s="23" t="s">
        <v>9</v>
      </c>
      <c r="J109" s="21" t="s">
        <v>10</v>
      </c>
      <c r="K109" s="21" t="s">
        <v>11</v>
      </c>
      <c r="L109" s="21" t="s">
        <v>12</v>
      </c>
      <c r="M109" s="23" t="s">
        <v>13</v>
      </c>
      <c r="N109" s="8"/>
    </row>
    <row r="110" spans="2:14" ht="15" customHeight="1">
      <c r="B110" s="27" t="s">
        <v>15</v>
      </c>
      <c r="C110" s="18" t="s">
        <v>16</v>
      </c>
      <c r="D110" s="24">
        <v>279</v>
      </c>
      <c r="E110" s="25">
        <v>0.443</v>
      </c>
      <c r="F110" s="25">
        <v>0.79400000000000004</v>
      </c>
      <c r="G110" s="24">
        <v>75</v>
      </c>
      <c r="H110" s="26">
        <v>7.6</v>
      </c>
      <c r="I110" s="26">
        <v>2.5</v>
      </c>
      <c r="J110" s="24">
        <v>376</v>
      </c>
      <c r="K110" s="24">
        <v>143</v>
      </c>
      <c r="L110" s="24">
        <v>4716</v>
      </c>
      <c r="M110" s="26">
        <f>L110/D110</f>
        <v>16.903225806451612</v>
      </c>
      <c r="N110" s="12"/>
    </row>
    <row r="111" spans="2:14" s="28" customFormat="1" ht="15" customHeight="1">
      <c r="B111" s="9"/>
      <c r="C111" s="1"/>
      <c r="D111" s="10"/>
      <c r="E111" s="11"/>
      <c r="F111" s="11"/>
      <c r="G111" s="10"/>
      <c r="H111" s="12"/>
      <c r="I111" s="12"/>
      <c r="J111" s="10"/>
      <c r="K111" s="10"/>
      <c r="L111" s="10"/>
      <c r="M111" s="12"/>
      <c r="N111" s="12"/>
    </row>
    <row r="113" spans="2:14" ht="15" customHeight="1">
      <c r="B113" s="30" t="s">
        <v>343</v>
      </c>
    </row>
    <row r="114" spans="2:14" ht="15" customHeight="1">
      <c r="B114" s="19" t="s">
        <v>2</v>
      </c>
      <c r="C114" s="20" t="s">
        <v>3</v>
      </c>
      <c r="D114" s="21" t="s">
        <v>4</v>
      </c>
      <c r="E114" s="22" t="s">
        <v>5</v>
      </c>
      <c r="F114" s="22" t="s">
        <v>6</v>
      </c>
      <c r="G114" s="21" t="s">
        <v>7</v>
      </c>
      <c r="H114" s="23" t="s">
        <v>8</v>
      </c>
      <c r="I114" s="23" t="s">
        <v>9</v>
      </c>
      <c r="J114" s="21" t="s">
        <v>10</v>
      </c>
      <c r="K114" s="21" t="s">
        <v>11</v>
      </c>
      <c r="L114" s="21" t="s">
        <v>12</v>
      </c>
      <c r="M114" s="23" t="s">
        <v>13</v>
      </c>
      <c r="N114" s="8"/>
    </row>
    <row r="115" spans="2:14" ht="15" customHeight="1">
      <c r="B115" s="27" t="s">
        <v>15</v>
      </c>
      <c r="C115" s="18" t="s">
        <v>42</v>
      </c>
      <c r="D115" s="24">
        <v>387</v>
      </c>
      <c r="E115" s="25">
        <v>0.442</v>
      </c>
      <c r="F115" s="25">
        <v>0.78700000000000003</v>
      </c>
      <c r="G115" s="24">
        <v>41</v>
      </c>
      <c r="H115" s="26">
        <v>4.0999999999999996</v>
      </c>
      <c r="I115" s="26">
        <v>1.2</v>
      </c>
      <c r="J115" s="24">
        <v>231</v>
      </c>
      <c r="K115" s="24">
        <v>505</v>
      </c>
      <c r="L115" s="24">
        <v>2434</v>
      </c>
      <c r="M115" s="26">
        <f>L115/D115</f>
        <v>6.2894056847545219</v>
      </c>
      <c r="N115" s="12"/>
    </row>
    <row r="116" spans="2:14" s="28" customFormat="1" ht="15" customHeight="1">
      <c r="B116" s="9"/>
      <c r="C116" s="1"/>
      <c r="D116" s="10"/>
      <c r="E116" s="11"/>
      <c r="F116" s="11"/>
      <c r="G116" s="10"/>
      <c r="H116" s="12"/>
      <c r="I116" s="12"/>
      <c r="J116" s="10"/>
      <c r="K116" s="10"/>
      <c r="L116" s="10"/>
      <c r="M116" s="12"/>
      <c r="N116" s="12"/>
    </row>
    <row r="117" spans="2:14" ht="15" customHeight="1">
      <c r="B117" s="30" t="s">
        <v>344</v>
      </c>
    </row>
    <row r="118" spans="2:14" ht="15" customHeight="1">
      <c r="B118" s="19" t="s">
        <v>2</v>
      </c>
      <c r="C118" s="20" t="s">
        <v>3</v>
      </c>
      <c r="D118" s="21" t="s">
        <v>4</v>
      </c>
      <c r="E118" s="22" t="s">
        <v>5</v>
      </c>
      <c r="F118" s="22" t="s">
        <v>6</v>
      </c>
      <c r="G118" s="21" t="s">
        <v>7</v>
      </c>
      <c r="H118" s="23" t="s">
        <v>8</v>
      </c>
      <c r="I118" s="23" t="s">
        <v>9</v>
      </c>
      <c r="J118" s="21" t="s">
        <v>10</v>
      </c>
      <c r="K118" s="21" t="s">
        <v>11</v>
      </c>
      <c r="L118" s="21" t="s">
        <v>12</v>
      </c>
      <c r="M118" s="23" t="s">
        <v>13</v>
      </c>
      <c r="N118" s="8"/>
    </row>
    <row r="119" spans="2:14" ht="15" customHeight="1">
      <c r="B119" s="27" t="s">
        <v>15</v>
      </c>
      <c r="C119" s="18" t="s">
        <v>25</v>
      </c>
      <c r="D119" s="24">
        <v>218</v>
      </c>
      <c r="E119" s="25">
        <v>0.36699999999999999</v>
      </c>
      <c r="F119" s="25">
        <v>0.746</v>
      </c>
      <c r="G119" s="24">
        <v>314</v>
      </c>
      <c r="H119" s="26">
        <v>3.1</v>
      </c>
      <c r="I119" s="26">
        <v>1.6</v>
      </c>
      <c r="J119" s="24">
        <v>254</v>
      </c>
      <c r="K119" s="24">
        <v>7</v>
      </c>
      <c r="L119" s="24">
        <v>2183</v>
      </c>
      <c r="M119" s="26">
        <f>L119/D119</f>
        <v>10.013761467889909</v>
      </c>
      <c r="N119" s="12"/>
    </row>
    <row r="120" spans="2:14" s="28" customFormat="1" ht="15" customHeight="1">
      <c r="B120" s="9"/>
      <c r="C120" s="1"/>
      <c r="D120" s="10"/>
      <c r="E120" s="11"/>
      <c r="F120" s="11"/>
      <c r="G120" s="10"/>
      <c r="H120" s="12"/>
      <c r="I120" s="12"/>
      <c r="J120" s="10"/>
      <c r="K120" s="10"/>
      <c r="L120" s="10"/>
      <c r="M120" s="12"/>
      <c r="N120" s="12"/>
    </row>
    <row r="121" spans="2:14" ht="15" customHeight="1">
      <c r="B121" s="30" t="s">
        <v>345</v>
      </c>
    </row>
    <row r="122" spans="2:14" ht="15" customHeight="1">
      <c r="B122" s="19" t="s">
        <v>2</v>
      </c>
      <c r="C122" s="20" t="s">
        <v>3</v>
      </c>
      <c r="D122" s="21" t="s">
        <v>4</v>
      </c>
      <c r="E122" s="22" t="s">
        <v>5</v>
      </c>
      <c r="F122" s="22" t="s">
        <v>6</v>
      </c>
      <c r="G122" s="21" t="s">
        <v>7</v>
      </c>
      <c r="H122" s="23" t="s">
        <v>8</v>
      </c>
      <c r="I122" s="23" t="s">
        <v>9</v>
      </c>
      <c r="J122" s="21" t="s">
        <v>10</v>
      </c>
      <c r="K122" s="21" t="s">
        <v>11</v>
      </c>
      <c r="L122" s="21" t="s">
        <v>12</v>
      </c>
      <c r="M122" s="23" t="s">
        <v>13</v>
      </c>
      <c r="N122" s="8"/>
    </row>
    <row r="123" spans="2:14" ht="15" customHeight="1">
      <c r="B123" s="27" t="s">
        <v>15</v>
      </c>
      <c r="C123" s="18" t="s">
        <v>59</v>
      </c>
      <c r="D123" s="24">
        <v>440</v>
      </c>
      <c r="E123" s="25">
        <v>0.48899999999999999</v>
      </c>
      <c r="F123" s="25">
        <v>0.73699999999999999</v>
      </c>
      <c r="G123" s="24">
        <v>69</v>
      </c>
      <c r="H123" s="26">
        <v>6.8</v>
      </c>
      <c r="I123" s="26">
        <v>2</v>
      </c>
      <c r="J123" s="24">
        <v>580</v>
      </c>
      <c r="K123" s="24">
        <v>443</v>
      </c>
      <c r="L123" s="24">
        <v>5013</v>
      </c>
      <c r="M123" s="26">
        <f>L123/D123</f>
        <v>11.393181818181818</v>
      </c>
      <c r="N123" s="12"/>
    </row>
    <row r="124" spans="2:14" s="28" customFormat="1" ht="15" customHeight="1">
      <c r="B124" s="9"/>
      <c r="C124" s="1"/>
      <c r="D124" s="10"/>
      <c r="E124" s="11"/>
      <c r="F124" s="11"/>
      <c r="G124" s="10"/>
      <c r="H124" s="12"/>
      <c r="I124" s="12"/>
      <c r="J124" s="10"/>
      <c r="K124" s="10"/>
      <c r="L124" s="10"/>
      <c r="M124" s="12"/>
      <c r="N124" s="12"/>
    </row>
    <row r="125" spans="2:14" ht="15" customHeight="1">
      <c r="B125" s="30" t="s">
        <v>346</v>
      </c>
    </row>
    <row r="126" spans="2:14" ht="15" customHeight="1">
      <c r="B126" s="19" t="s">
        <v>2</v>
      </c>
      <c r="C126" s="20" t="s">
        <v>3</v>
      </c>
      <c r="D126" s="21" t="s">
        <v>4</v>
      </c>
      <c r="E126" s="22" t="s">
        <v>5</v>
      </c>
      <c r="F126" s="22" t="s">
        <v>6</v>
      </c>
      <c r="G126" s="21" t="s">
        <v>7</v>
      </c>
      <c r="H126" s="23" t="s">
        <v>8</v>
      </c>
      <c r="I126" s="23" t="s">
        <v>9</v>
      </c>
      <c r="J126" s="21" t="s">
        <v>10</v>
      </c>
      <c r="K126" s="21" t="s">
        <v>11</v>
      </c>
      <c r="L126" s="21" t="s">
        <v>12</v>
      </c>
      <c r="M126" s="23" t="s">
        <v>13</v>
      </c>
      <c r="N126" s="8"/>
    </row>
    <row r="127" spans="2:14" ht="15" customHeight="1">
      <c r="B127" s="27" t="s">
        <v>15</v>
      </c>
      <c r="C127" s="18" t="s">
        <v>50</v>
      </c>
      <c r="D127" s="24">
        <v>278</v>
      </c>
      <c r="E127" s="25">
        <v>0.41799999999999998</v>
      </c>
      <c r="F127" s="25">
        <v>0.78100000000000003</v>
      </c>
      <c r="G127" s="24">
        <v>352</v>
      </c>
      <c r="H127" s="26">
        <v>4.2</v>
      </c>
      <c r="I127" s="26">
        <v>2.5</v>
      </c>
      <c r="J127" s="24">
        <v>490</v>
      </c>
      <c r="K127" s="24">
        <v>81</v>
      </c>
      <c r="L127" s="24">
        <v>3955</v>
      </c>
      <c r="M127" s="26">
        <f>L127/D127</f>
        <v>14.226618705035971</v>
      </c>
      <c r="N127" s="12"/>
    </row>
    <row r="128" spans="2:14" s="28" customFormat="1" ht="15" customHeight="1">
      <c r="B128" s="9"/>
      <c r="C128" s="1"/>
      <c r="D128" s="10"/>
      <c r="E128" s="11"/>
      <c r="F128" s="11"/>
      <c r="G128" s="10"/>
      <c r="H128" s="12"/>
      <c r="I128" s="12"/>
      <c r="J128" s="10"/>
      <c r="K128" s="10"/>
      <c r="L128" s="10"/>
      <c r="M128" s="12"/>
      <c r="N128" s="12"/>
    </row>
    <row r="129" spans="2:14" ht="15" customHeight="1">
      <c r="B129" s="30" t="s">
        <v>347</v>
      </c>
    </row>
    <row r="130" spans="2:14" ht="15" customHeight="1">
      <c r="B130" s="19" t="s">
        <v>2</v>
      </c>
      <c r="C130" s="20" t="s">
        <v>3</v>
      </c>
      <c r="D130" s="21" t="s">
        <v>4</v>
      </c>
      <c r="E130" s="22" t="s">
        <v>5</v>
      </c>
      <c r="F130" s="22" t="s">
        <v>6</v>
      </c>
      <c r="G130" s="21" t="s">
        <v>7</v>
      </c>
      <c r="H130" s="23" t="s">
        <v>8</v>
      </c>
      <c r="I130" s="23" t="s">
        <v>9</v>
      </c>
      <c r="J130" s="21" t="s">
        <v>10</v>
      </c>
      <c r="K130" s="21" t="s">
        <v>11</v>
      </c>
      <c r="L130" s="21" t="s">
        <v>12</v>
      </c>
      <c r="M130" s="23" t="s">
        <v>13</v>
      </c>
      <c r="N130" s="8"/>
    </row>
    <row r="131" spans="2:14" ht="15" customHeight="1">
      <c r="B131" s="27" t="s">
        <v>15</v>
      </c>
      <c r="C131" s="18" t="s">
        <v>50</v>
      </c>
      <c r="D131" s="24">
        <v>293</v>
      </c>
      <c r="E131" s="25">
        <v>0.41599999999999998</v>
      </c>
      <c r="F131" s="25">
        <v>0.81100000000000005</v>
      </c>
      <c r="G131" s="24">
        <v>340</v>
      </c>
      <c r="H131" s="26">
        <v>3.8</v>
      </c>
      <c r="I131" s="26">
        <v>3.2</v>
      </c>
      <c r="J131" s="24">
        <v>388</v>
      </c>
      <c r="K131" s="24">
        <v>101</v>
      </c>
      <c r="L131" s="24">
        <v>3971</v>
      </c>
      <c r="M131" s="26">
        <f>L131/D131</f>
        <v>13.552901023890785</v>
      </c>
      <c r="N131" s="12"/>
    </row>
    <row r="132" spans="2:14" s="28" customFormat="1" ht="15" customHeight="1">
      <c r="B132" s="9"/>
      <c r="C132" s="1"/>
      <c r="D132" s="10"/>
      <c r="E132" s="11"/>
      <c r="F132" s="11"/>
      <c r="G132" s="10"/>
      <c r="H132" s="12"/>
      <c r="I132" s="12"/>
      <c r="J132" s="10"/>
      <c r="K132" s="10"/>
      <c r="L132" s="10"/>
      <c r="M132" s="12"/>
      <c r="N132" s="12"/>
    </row>
    <row r="133" spans="2:14" ht="15" customHeight="1">
      <c r="B133" s="30" t="s">
        <v>348</v>
      </c>
    </row>
    <row r="134" spans="2:14" ht="15" customHeight="1">
      <c r="B134" s="19" t="s">
        <v>2</v>
      </c>
      <c r="C134" s="20" t="s">
        <v>3</v>
      </c>
      <c r="D134" s="21" t="s">
        <v>4</v>
      </c>
      <c r="E134" s="22" t="s">
        <v>5</v>
      </c>
      <c r="F134" s="22" t="s">
        <v>6</v>
      </c>
      <c r="G134" s="21" t="s">
        <v>7</v>
      </c>
      <c r="H134" s="23" t="s">
        <v>8</v>
      </c>
      <c r="I134" s="23" t="s">
        <v>9</v>
      </c>
      <c r="J134" s="21" t="s">
        <v>10</v>
      </c>
      <c r="K134" s="21" t="s">
        <v>11</v>
      </c>
      <c r="L134" s="21" t="s">
        <v>12</v>
      </c>
      <c r="M134" s="23" t="s">
        <v>13</v>
      </c>
      <c r="N134" s="8"/>
    </row>
    <row r="135" spans="2:14" ht="15" customHeight="1">
      <c r="B135" s="27" t="s">
        <v>15</v>
      </c>
      <c r="C135" s="18" t="s">
        <v>16</v>
      </c>
      <c r="D135" s="24">
        <v>352</v>
      </c>
      <c r="E135" s="25">
        <v>0.39500000000000002</v>
      </c>
      <c r="F135" s="25">
        <v>0.76400000000000001</v>
      </c>
      <c r="G135" s="24">
        <v>313</v>
      </c>
      <c r="H135" s="26">
        <v>3.2</v>
      </c>
      <c r="I135" s="26">
        <v>4</v>
      </c>
      <c r="J135" s="24">
        <v>494</v>
      </c>
      <c r="K135" s="24">
        <v>67</v>
      </c>
      <c r="L135" s="24">
        <v>3554</v>
      </c>
      <c r="M135" s="26">
        <f>L135/D135</f>
        <v>10.096590909090908</v>
      </c>
      <c r="N135" s="12"/>
    </row>
    <row r="136" spans="2:14" s="28" customFormat="1" ht="15" customHeight="1">
      <c r="B136" s="9"/>
      <c r="C136" s="1"/>
      <c r="D136" s="10"/>
      <c r="E136" s="11"/>
      <c r="F136" s="11"/>
      <c r="G136" s="10"/>
      <c r="H136" s="12"/>
      <c r="I136" s="12"/>
      <c r="J136" s="10"/>
      <c r="K136" s="10"/>
      <c r="L136" s="10"/>
      <c r="M136" s="12"/>
      <c r="N136" s="12"/>
    </row>
    <row r="137" spans="2:14" ht="15" customHeight="1">
      <c r="B137" s="30" t="s">
        <v>349</v>
      </c>
    </row>
    <row r="138" spans="2:14" ht="15" customHeight="1">
      <c r="B138" s="19" t="s">
        <v>2</v>
      </c>
      <c r="C138" s="20" t="s">
        <v>3</v>
      </c>
      <c r="D138" s="21" t="s">
        <v>4</v>
      </c>
      <c r="E138" s="22" t="s">
        <v>5</v>
      </c>
      <c r="F138" s="22" t="s">
        <v>6</v>
      </c>
      <c r="G138" s="21" t="s">
        <v>7</v>
      </c>
      <c r="H138" s="23" t="s">
        <v>8</v>
      </c>
      <c r="I138" s="23" t="s">
        <v>9</v>
      </c>
      <c r="J138" s="21" t="s">
        <v>10</v>
      </c>
      <c r="K138" s="21" t="s">
        <v>11</v>
      </c>
      <c r="L138" s="21" t="s">
        <v>12</v>
      </c>
      <c r="M138" s="23" t="s">
        <v>13</v>
      </c>
      <c r="N138" s="8"/>
    </row>
    <row r="139" spans="2:14" ht="15" customHeight="1">
      <c r="B139" s="27" t="s">
        <v>15</v>
      </c>
      <c r="C139" s="18" t="s">
        <v>59</v>
      </c>
      <c r="D139" s="24">
        <v>412</v>
      </c>
      <c r="E139" s="25">
        <v>0.41499999999999998</v>
      </c>
      <c r="F139" s="25">
        <v>0.80500000000000005</v>
      </c>
      <c r="G139" s="24">
        <v>726</v>
      </c>
      <c r="H139" s="26">
        <v>3.8</v>
      </c>
      <c r="I139" s="26">
        <v>2.6</v>
      </c>
      <c r="J139" s="24">
        <v>623</v>
      </c>
      <c r="K139" s="24">
        <v>126</v>
      </c>
      <c r="L139" s="24">
        <v>5560</v>
      </c>
      <c r="M139" s="26">
        <f>L139/D139</f>
        <v>13.495145631067961</v>
      </c>
      <c r="N139" s="12"/>
    </row>
    <row r="140" spans="2:14" s="28" customFormat="1" ht="15" customHeight="1">
      <c r="B140" s="9"/>
      <c r="C140" s="1"/>
      <c r="D140" s="10"/>
      <c r="E140" s="11"/>
      <c r="F140" s="11"/>
      <c r="G140" s="10"/>
      <c r="H140" s="12"/>
      <c r="I140" s="12"/>
      <c r="J140" s="10"/>
      <c r="K140" s="10"/>
      <c r="L140" s="10"/>
      <c r="M140" s="12"/>
      <c r="N140" s="12"/>
    </row>
    <row r="141" spans="2:14" ht="15" customHeight="1">
      <c r="B141" s="30" t="s">
        <v>350</v>
      </c>
    </row>
    <row r="142" spans="2:14" ht="15" customHeight="1">
      <c r="B142" s="19" t="s">
        <v>2</v>
      </c>
      <c r="C142" s="20" t="s">
        <v>3</v>
      </c>
      <c r="D142" s="21" t="s">
        <v>4</v>
      </c>
      <c r="E142" s="22" t="s">
        <v>5</v>
      </c>
      <c r="F142" s="22" t="s">
        <v>6</v>
      </c>
      <c r="G142" s="21" t="s">
        <v>7</v>
      </c>
      <c r="H142" s="23" t="s">
        <v>8</v>
      </c>
      <c r="I142" s="23" t="s">
        <v>9</v>
      </c>
      <c r="J142" s="21" t="s">
        <v>10</v>
      </c>
      <c r="K142" s="21" t="s">
        <v>11</v>
      </c>
      <c r="L142" s="21" t="s">
        <v>12</v>
      </c>
      <c r="M142" s="23" t="s">
        <v>13</v>
      </c>
      <c r="N142" s="8"/>
    </row>
    <row r="143" spans="2:14" ht="15" customHeight="1">
      <c r="B143" s="27" t="s">
        <v>15</v>
      </c>
      <c r="C143" s="18" t="s">
        <v>18</v>
      </c>
      <c r="D143" s="24">
        <v>196</v>
      </c>
      <c r="E143" s="25">
        <v>0.45700000000000002</v>
      </c>
      <c r="F143" s="25">
        <v>0.59499999999999997</v>
      </c>
      <c r="G143" s="24">
        <v>0</v>
      </c>
      <c r="H143" s="26">
        <v>9.6999999999999993</v>
      </c>
      <c r="I143" s="26">
        <v>1</v>
      </c>
      <c r="J143" s="24">
        <v>224</v>
      </c>
      <c r="K143" s="24">
        <v>160</v>
      </c>
      <c r="L143" s="24">
        <v>2116</v>
      </c>
      <c r="M143" s="26">
        <f>L143/D143</f>
        <v>10.795918367346939</v>
      </c>
      <c r="N143" s="12"/>
    </row>
    <row r="144" spans="2:14" s="28" customFormat="1" ht="15" customHeight="1">
      <c r="B144" s="9"/>
      <c r="C144" s="1"/>
      <c r="D144" s="10"/>
      <c r="E144" s="11"/>
      <c r="F144" s="11"/>
      <c r="G144" s="10"/>
      <c r="H144" s="12"/>
      <c r="I144" s="12"/>
      <c r="J144" s="10"/>
      <c r="K144" s="10"/>
      <c r="L144" s="10"/>
      <c r="M144" s="12"/>
      <c r="N144" s="12"/>
    </row>
    <row r="145" spans="2:14" ht="15" customHeight="1">
      <c r="B145" s="30" t="s">
        <v>351</v>
      </c>
    </row>
    <row r="146" spans="2:14" ht="15" customHeight="1">
      <c r="B146" s="19" t="s">
        <v>2</v>
      </c>
      <c r="C146" s="20" t="s">
        <v>3</v>
      </c>
      <c r="D146" s="21" t="s">
        <v>4</v>
      </c>
      <c r="E146" s="22" t="s">
        <v>5</v>
      </c>
      <c r="F146" s="22" t="s">
        <v>6</v>
      </c>
      <c r="G146" s="21" t="s">
        <v>7</v>
      </c>
      <c r="H146" s="23" t="s">
        <v>8</v>
      </c>
      <c r="I146" s="23" t="s">
        <v>9</v>
      </c>
      <c r="J146" s="21" t="s">
        <v>10</v>
      </c>
      <c r="K146" s="21" t="s">
        <v>11</v>
      </c>
      <c r="L146" s="21" t="s">
        <v>12</v>
      </c>
      <c r="M146" s="23" t="s">
        <v>13</v>
      </c>
      <c r="N146" s="8"/>
    </row>
    <row r="147" spans="2:14" ht="15" customHeight="1">
      <c r="B147" s="27" t="s">
        <v>15</v>
      </c>
      <c r="C147" s="18" t="s">
        <v>38</v>
      </c>
      <c r="D147" s="24">
        <v>53</v>
      </c>
      <c r="E147" s="25">
        <v>0.38300000000000001</v>
      </c>
      <c r="F147" s="25">
        <v>0.78200000000000003</v>
      </c>
      <c r="G147" s="24">
        <v>65</v>
      </c>
      <c r="H147" s="26">
        <v>1.8</v>
      </c>
      <c r="I147" s="26">
        <v>1.4</v>
      </c>
      <c r="J147" s="24">
        <v>28</v>
      </c>
      <c r="K147" s="24">
        <v>3</v>
      </c>
      <c r="L147" s="24">
        <v>603</v>
      </c>
      <c r="M147" s="26">
        <f>L147/D147</f>
        <v>11.377358490566039</v>
      </c>
      <c r="N147" s="12"/>
    </row>
    <row r="148" spans="2:14" s="28" customFormat="1" ht="15" customHeight="1">
      <c r="B148" s="9"/>
      <c r="C148" s="1"/>
      <c r="D148" s="10"/>
      <c r="E148" s="11"/>
      <c r="F148" s="11"/>
      <c r="G148" s="10"/>
      <c r="H148" s="12"/>
      <c r="I148" s="12"/>
      <c r="J148" s="10"/>
      <c r="K148" s="10"/>
      <c r="L148" s="10"/>
      <c r="M148" s="12"/>
      <c r="N148" s="12"/>
    </row>
    <row r="149" spans="2:14" ht="15" customHeight="1">
      <c r="B149" s="30" t="s">
        <v>352</v>
      </c>
    </row>
    <row r="150" spans="2:14" ht="15" customHeight="1">
      <c r="B150" s="19" t="s">
        <v>2</v>
      </c>
      <c r="C150" s="20" t="s">
        <v>3</v>
      </c>
      <c r="D150" s="21" t="s">
        <v>4</v>
      </c>
      <c r="E150" s="22" t="s">
        <v>5</v>
      </c>
      <c r="F150" s="22" t="s">
        <v>6</v>
      </c>
      <c r="G150" s="21" t="s">
        <v>7</v>
      </c>
      <c r="H150" s="23" t="s">
        <v>8</v>
      </c>
      <c r="I150" s="23" t="s">
        <v>9</v>
      </c>
      <c r="J150" s="21" t="s">
        <v>10</v>
      </c>
      <c r="K150" s="21" t="s">
        <v>11</v>
      </c>
      <c r="L150" s="21" t="s">
        <v>12</v>
      </c>
      <c r="M150" s="23" t="s">
        <v>13</v>
      </c>
      <c r="N150" s="8"/>
    </row>
    <row r="151" spans="2:14" ht="15" customHeight="1">
      <c r="B151" s="27" t="s">
        <v>15</v>
      </c>
      <c r="C151" s="18" t="s">
        <v>353</v>
      </c>
      <c r="D151" s="24">
        <v>580</v>
      </c>
      <c r="E151" s="25">
        <v>0.42899999999999999</v>
      </c>
      <c r="F151" s="25">
        <v>0.85299999999999998</v>
      </c>
      <c r="G151" s="24">
        <v>1001</v>
      </c>
      <c r="H151" s="26">
        <v>2.5</v>
      </c>
      <c r="I151" s="26">
        <v>5.6</v>
      </c>
      <c r="J151" s="24">
        <v>3234</v>
      </c>
      <c r="K151" s="24">
        <v>71</v>
      </c>
      <c r="L151" s="24">
        <v>6803</v>
      </c>
      <c r="M151" s="26">
        <f>L151/D151</f>
        <v>11.729310344827587</v>
      </c>
      <c r="N151" s="12"/>
    </row>
    <row r="152" spans="2:14" s="28" customFormat="1" ht="15" customHeight="1">
      <c r="B152" s="9"/>
      <c r="C152" s="1"/>
      <c r="D152" s="10"/>
      <c r="E152" s="11"/>
      <c r="F152" s="11"/>
      <c r="G152" s="10"/>
      <c r="H152" s="12"/>
      <c r="I152" s="12"/>
      <c r="J152" s="10"/>
      <c r="K152" s="10"/>
      <c r="L152" s="10"/>
      <c r="M152" s="12"/>
      <c r="N152" s="12"/>
    </row>
    <row r="153" spans="2:14" ht="15" customHeight="1">
      <c r="B153" s="30" t="s">
        <v>354</v>
      </c>
    </row>
    <row r="154" spans="2:14" ht="15" customHeight="1">
      <c r="B154" s="19" t="s">
        <v>2</v>
      </c>
      <c r="C154" s="20" t="s">
        <v>3</v>
      </c>
      <c r="D154" s="21" t="s">
        <v>4</v>
      </c>
      <c r="E154" s="22" t="s">
        <v>5</v>
      </c>
      <c r="F154" s="22" t="s">
        <v>6</v>
      </c>
      <c r="G154" s="21" t="s">
        <v>7</v>
      </c>
      <c r="H154" s="23" t="s">
        <v>8</v>
      </c>
      <c r="I154" s="23" t="s">
        <v>9</v>
      </c>
      <c r="J154" s="21" t="s">
        <v>10</v>
      </c>
      <c r="K154" s="21" t="s">
        <v>11</v>
      </c>
      <c r="L154" s="21" t="s">
        <v>12</v>
      </c>
      <c r="M154" s="23" t="s">
        <v>13</v>
      </c>
      <c r="N154" s="8"/>
    </row>
    <row r="155" spans="2:14" ht="15" customHeight="1">
      <c r="B155" s="27" t="s">
        <v>15</v>
      </c>
      <c r="C155" s="18" t="s">
        <v>42</v>
      </c>
      <c r="D155" s="24">
        <v>355</v>
      </c>
      <c r="E155" s="25">
        <v>0.46600000000000003</v>
      </c>
      <c r="F155" s="25">
        <v>0.86799999999999999</v>
      </c>
      <c r="G155" s="24">
        <v>410</v>
      </c>
      <c r="H155" s="26">
        <v>4.4000000000000004</v>
      </c>
      <c r="I155" s="26">
        <v>3</v>
      </c>
      <c r="J155" s="24">
        <v>480</v>
      </c>
      <c r="K155" s="24">
        <v>137</v>
      </c>
      <c r="L155" s="24">
        <v>4606</v>
      </c>
      <c r="M155" s="26">
        <f>L155/D155</f>
        <v>12.974647887323943</v>
      </c>
      <c r="N155" s="12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N321"/>
  <sheetViews>
    <sheetView tabSelected="1" topLeftCell="A189" zoomScale="120" zoomScaleNormal="120" workbookViewId="0">
      <selection activeCell="A225" sqref="A225:XFD228"/>
    </sheetView>
  </sheetViews>
  <sheetFormatPr defaultColWidth="45" defaultRowHeight="11.25"/>
  <cols>
    <col min="1" max="1" width="2.7109375" style="1" customWidth="1"/>
    <col min="2" max="2" width="19" style="13" customWidth="1"/>
    <col min="3" max="3" width="19.140625" style="1" bestFit="1" customWidth="1"/>
    <col min="4" max="4" width="4.28515625" style="1" customWidth="1"/>
    <col min="5" max="5" width="7.42578125" style="2" bestFit="1" customWidth="1"/>
    <col min="6" max="6" width="6.5703125" style="2" bestFit="1" customWidth="1"/>
    <col min="7" max="7" width="4.42578125" style="1" bestFit="1" customWidth="1"/>
    <col min="8" max="8" width="4.140625" style="3" bestFit="1" customWidth="1"/>
    <col min="9" max="9" width="4.28515625" style="3" bestFit="1" customWidth="1"/>
    <col min="10" max="10" width="5.140625" style="1" customWidth="1"/>
    <col min="11" max="11" width="4.42578125" style="1" bestFit="1" customWidth="1"/>
    <col min="12" max="12" width="5.28515625" style="1" bestFit="1" customWidth="1"/>
    <col min="13" max="13" width="4.42578125" style="3" bestFit="1" customWidth="1"/>
    <col min="14" max="14" width="4.42578125" style="3" customWidth="1"/>
    <col min="15" max="16384" width="45" style="1"/>
  </cols>
  <sheetData>
    <row r="1" spans="2:14" ht="15" customHeight="1">
      <c r="B1" s="33" t="s">
        <v>355</v>
      </c>
    </row>
    <row r="3" spans="2:14" ht="15" customHeight="1">
      <c r="B3" s="30" t="s">
        <v>356</v>
      </c>
    </row>
    <row r="4" spans="2:14" ht="15" customHeight="1">
      <c r="B4" s="19" t="s">
        <v>2</v>
      </c>
      <c r="C4" s="20" t="s">
        <v>3</v>
      </c>
      <c r="D4" s="21" t="s">
        <v>4</v>
      </c>
      <c r="E4" s="22" t="s">
        <v>5</v>
      </c>
      <c r="F4" s="22" t="s">
        <v>6</v>
      </c>
      <c r="G4" s="21" t="s">
        <v>7</v>
      </c>
      <c r="H4" s="23" t="s">
        <v>8</v>
      </c>
      <c r="I4" s="23" t="s">
        <v>9</v>
      </c>
      <c r="J4" s="21" t="s">
        <v>10</v>
      </c>
      <c r="K4" s="21" t="s">
        <v>11</v>
      </c>
      <c r="L4" s="21" t="s">
        <v>12</v>
      </c>
      <c r="M4" s="23" t="s">
        <v>13</v>
      </c>
      <c r="N4" s="8"/>
    </row>
    <row r="5" spans="2:14" ht="15" customHeight="1">
      <c r="B5" s="24" t="s">
        <v>357</v>
      </c>
      <c r="C5" s="18" t="s">
        <v>358</v>
      </c>
      <c r="D5" s="24">
        <v>34</v>
      </c>
      <c r="E5" s="25">
        <v>0.41599999999999998</v>
      </c>
      <c r="F5" s="25">
        <v>0.71599999999999997</v>
      </c>
      <c r="G5" s="24">
        <v>69</v>
      </c>
      <c r="H5" s="26">
        <v>7.2</v>
      </c>
      <c r="I5" s="26">
        <v>2.8</v>
      </c>
      <c r="J5" s="24">
        <v>38</v>
      </c>
      <c r="K5" s="24">
        <v>26</v>
      </c>
      <c r="L5" s="24">
        <v>541</v>
      </c>
      <c r="M5" s="26">
        <f>L5/D5</f>
        <v>15.911764705882353</v>
      </c>
      <c r="N5" s="12"/>
    </row>
    <row r="6" spans="2:14" ht="15" customHeight="1">
      <c r="B6" s="27" t="s">
        <v>15</v>
      </c>
      <c r="C6" s="18" t="s">
        <v>359</v>
      </c>
      <c r="D6" s="24">
        <v>69</v>
      </c>
      <c r="E6" s="25">
        <v>0.41499999999999998</v>
      </c>
      <c r="F6" s="25">
        <v>0.71599999999999997</v>
      </c>
      <c r="G6" s="24">
        <v>108</v>
      </c>
      <c r="H6" s="26">
        <v>6.6</v>
      </c>
      <c r="I6" s="26">
        <v>2.2000000000000002</v>
      </c>
      <c r="J6" s="24">
        <v>73</v>
      </c>
      <c r="K6" s="24">
        <v>52</v>
      </c>
      <c r="L6" s="24">
        <v>986</v>
      </c>
      <c r="M6" s="26">
        <f>L6/D6</f>
        <v>14.289855072463768</v>
      </c>
      <c r="N6" s="12"/>
    </row>
    <row r="7" spans="2:14" ht="15" customHeight="1">
      <c r="B7" s="9"/>
      <c r="D7" s="10"/>
      <c r="E7" s="11"/>
      <c r="F7" s="11"/>
      <c r="G7" s="10"/>
      <c r="H7" s="12"/>
      <c r="I7" s="12"/>
      <c r="J7" s="10"/>
      <c r="K7" s="10"/>
      <c r="L7" s="10"/>
      <c r="M7" s="12"/>
      <c r="N7" s="12"/>
    </row>
    <row r="8" spans="2:14" ht="15" customHeight="1">
      <c r="B8" s="38"/>
      <c r="N8" s="12"/>
    </row>
    <row r="9" spans="2:14" ht="15" customHeight="1">
      <c r="B9" s="30" t="s">
        <v>360</v>
      </c>
      <c r="N9" s="8"/>
    </row>
    <row r="10" spans="2:14" ht="15" customHeight="1">
      <c r="B10" s="19" t="s">
        <v>2</v>
      </c>
      <c r="C10" s="20" t="s">
        <v>3</v>
      </c>
      <c r="D10" s="21" t="s">
        <v>4</v>
      </c>
      <c r="E10" s="22" t="s">
        <v>5</v>
      </c>
      <c r="F10" s="22" t="s">
        <v>6</v>
      </c>
      <c r="G10" s="21" t="s">
        <v>7</v>
      </c>
      <c r="H10" s="23" t="s">
        <v>8</v>
      </c>
      <c r="I10" s="23" t="s">
        <v>9</v>
      </c>
      <c r="J10" s="21" t="s">
        <v>10</v>
      </c>
      <c r="K10" s="21" t="s">
        <v>11</v>
      </c>
      <c r="L10" s="21" t="s">
        <v>12</v>
      </c>
      <c r="M10" s="23" t="s">
        <v>13</v>
      </c>
      <c r="N10" s="12"/>
    </row>
    <row r="11" spans="2:14" ht="15" customHeight="1">
      <c r="B11" s="24" t="s">
        <v>361</v>
      </c>
      <c r="C11" s="18" t="s">
        <v>362</v>
      </c>
      <c r="D11" s="24">
        <v>33</v>
      </c>
      <c r="E11" s="25">
        <v>0.50600000000000001</v>
      </c>
      <c r="F11" s="25">
        <v>0.83499999999999996</v>
      </c>
      <c r="G11" s="24">
        <v>20</v>
      </c>
      <c r="H11" s="26">
        <v>5.6</v>
      </c>
      <c r="I11" s="26">
        <v>1.4</v>
      </c>
      <c r="J11" s="24">
        <v>22</v>
      </c>
      <c r="K11" s="24">
        <v>58</v>
      </c>
      <c r="L11" s="24">
        <v>432</v>
      </c>
      <c r="M11" s="26">
        <f>L11/D11</f>
        <v>13.090909090909092</v>
      </c>
      <c r="N11" s="12"/>
    </row>
    <row r="12" spans="2:14">
      <c r="B12" s="27" t="s">
        <v>15</v>
      </c>
      <c r="C12" s="18" t="s">
        <v>363</v>
      </c>
      <c r="D12" s="24">
        <v>136</v>
      </c>
      <c r="E12" s="25">
        <v>0.48399999999999999</v>
      </c>
      <c r="F12" s="25">
        <v>0.79100000000000004</v>
      </c>
      <c r="G12" s="24">
        <v>34</v>
      </c>
      <c r="H12" s="26">
        <v>4.4000000000000004</v>
      </c>
      <c r="I12" s="26">
        <v>0.7</v>
      </c>
      <c r="J12" s="24">
        <v>68</v>
      </c>
      <c r="K12" s="24">
        <v>210</v>
      </c>
      <c r="L12" s="24">
        <v>1191</v>
      </c>
      <c r="M12" s="26">
        <f>L12/D12</f>
        <v>8.757352941176471</v>
      </c>
    </row>
    <row r="13" spans="2:14" ht="15" customHeight="1">
      <c r="B13" s="39"/>
      <c r="C13" s="5"/>
      <c r="D13" s="5"/>
      <c r="E13" s="16"/>
      <c r="F13" s="16"/>
      <c r="G13" s="5"/>
      <c r="H13" s="17"/>
      <c r="I13" s="17"/>
      <c r="J13" s="5"/>
      <c r="K13" s="5"/>
      <c r="L13" s="17"/>
      <c r="M13" s="17"/>
    </row>
    <row r="14" spans="2:14" ht="15" customHeight="1">
      <c r="B14" s="30" t="s">
        <v>364</v>
      </c>
      <c r="N14" s="8"/>
    </row>
    <row r="15" spans="2:14" ht="15" customHeight="1">
      <c r="B15" s="19" t="s">
        <v>2</v>
      </c>
      <c r="C15" s="20" t="s">
        <v>3</v>
      </c>
      <c r="D15" s="21" t="s">
        <v>4</v>
      </c>
      <c r="E15" s="22" t="s">
        <v>5</v>
      </c>
      <c r="F15" s="22" t="s">
        <v>6</v>
      </c>
      <c r="G15" s="21" t="s">
        <v>7</v>
      </c>
      <c r="H15" s="23" t="s">
        <v>8</v>
      </c>
      <c r="I15" s="23" t="s">
        <v>9</v>
      </c>
      <c r="J15" s="21" t="s">
        <v>10</v>
      </c>
      <c r="K15" s="21" t="s">
        <v>11</v>
      </c>
      <c r="L15" s="21" t="s">
        <v>12</v>
      </c>
      <c r="M15" s="23" t="s">
        <v>13</v>
      </c>
      <c r="N15" s="12"/>
    </row>
    <row r="16" spans="2:14" ht="15" customHeight="1">
      <c r="B16" s="24" t="s">
        <v>357</v>
      </c>
      <c r="C16" s="18" t="s">
        <v>365</v>
      </c>
      <c r="D16" s="24">
        <v>3</v>
      </c>
      <c r="E16" s="25">
        <v>0.34</v>
      </c>
      <c r="F16" s="25">
        <v>0.71399999999999997</v>
      </c>
      <c r="G16" s="24">
        <v>7</v>
      </c>
      <c r="H16" s="26">
        <v>4.3</v>
      </c>
      <c r="I16" s="26">
        <v>2</v>
      </c>
      <c r="J16" s="24">
        <v>1</v>
      </c>
      <c r="K16" s="24">
        <v>0</v>
      </c>
      <c r="L16" s="24">
        <v>49</v>
      </c>
      <c r="M16" s="26">
        <f>L16/D16</f>
        <v>16.333333333333332</v>
      </c>
      <c r="N16" s="12"/>
    </row>
    <row r="17" spans="2:14" ht="15" customHeight="1">
      <c r="B17" s="27" t="s">
        <v>15</v>
      </c>
      <c r="C17" s="18" t="s">
        <v>363</v>
      </c>
      <c r="D17" s="24">
        <v>99</v>
      </c>
      <c r="E17" s="25">
        <v>0.39800000000000002</v>
      </c>
      <c r="F17" s="25">
        <v>0.89600000000000002</v>
      </c>
      <c r="G17" s="24">
        <v>308</v>
      </c>
      <c r="H17" s="26">
        <v>3.2</v>
      </c>
      <c r="I17" s="26">
        <v>1</v>
      </c>
      <c r="J17" s="24">
        <v>54</v>
      </c>
      <c r="K17" s="24">
        <v>34</v>
      </c>
      <c r="L17" s="24">
        <v>1764</v>
      </c>
      <c r="M17" s="26">
        <f>L17/D17</f>
        <v>17.818181818181817</v>
      </c>
      <c r="N17" s="17"/>
    </row>
    <row r="18" spans="2:14" ht="15" customHeight="1">
      <c r="B18" s="40"/>
      <c r="C18" s="5"/>
      <c r="D18" s="5"/>
      <c r="E18" s="16"/>
      <c r="F18" s="16"/>
      <c r="G18" s="5"/>
      <c r="H18" s="17"/>
      <c r="I18" s="17"/>
      <c r="J18" s="5"/>
      <c r="K18" s="5"/>
      <c r="L18" s="17"/>
      <c r="M18" s="17"/>
    </row>
    <row r="19" spans="2:14" ht="15" customHeight="1">
      <c r="B19" s="38"/>
      <c r="N19" s="12"/>
    </row>
    <row r="20" spans="2:14" ht="15" customHeight="1">
      <c r="B20" s="30" t="s">
        <v>366</v>
      </c>
      <c r="N20" s="8"/>
    </row>
    <row r="21" spans="2:14" ht="15" customHeight="1">
      <c r="B21" s="19" t="s">
        <v>2</v>
      </c>
      <c r="C21" s="20" t="s">
        <v>3</v>
      </c>
      <c r="D21" s="21" t="s">
        <v>4</v>
      </c>
      <c r="E21" s="22" t="s">
        <v>5</v>
      </c>
      <c r="F21" s="22" t="s">
        <v>6</v>
      </c>
      <c r="G21" s="21" t="s">
        <v>7</v>
      </c>
      <c r="H21" s="23" t="s">
        <v>8</v>
      </c>
      <c r="I21" s="23" t="s">
        <v>9</v>
      </c>
      <c r="J21" s="21" t="s">
        <v>10</v>
      </c>
      <c r="K21" s="21" t="s">
        <v>11</v>
      </c>
      <c r="L21" s="21" t="s">
        <v>12</v>
      </c>
      <c r="M21" s="23" t="s">
        <v>13</v>
      </c>
      <c r="N21" s="12"/>
    </row>
    <row r="22" spans="2:14" ht="15" customHeight="1">
      <c r="B22" s="24" t="s">
        <v>367</v>
      </c>
      <c r="C22" s="18" t="s">
        <v>368</v>
      </c>
      <c r="D22" s="24">
        <v>24</v>
      </c>
      <c r="E22" s="25">
        <v>0.48</v>
      </c>
      <c r="F22" s="25">
        <v>0.85299999999999998</v>
      </c>
      <c r="G22" s="24">
        <v>20</v>
      </c>
      <c r="H22" s="26">
        <v>8.8000000000000007</v>
      </c>
      <c r="I22" s="26">
        <v>2.2999999999999998</v>
      </c>
      <c r="J22" s="24">
        <v>20</v>
      </c>
      <c r="K22" s="24">
        <v>8</v>
      </c>
      <c r="L22" s="24">
        <v>415</v>
      </c>
      <c r="M22" s="26">
        <f>L22/D22</f>
        <v>17.291666666666668</v>
      </c>
      <c r="N22" s="12"/>
    </row>
    <row r="23" spans="2:14" ht="15" customHeight="1">
      <c r="B23" s="27" t="s">
        <v>15</v>
      </c>
      <c r="C23" s="18" t="s">
        <v>363</v>
      </c>
      <c r="D23" s="24">
        <v>118</v>
      </c>
      <c r="E23" s="25">
        <v>0.47099999999999997</v>
      </c>
      <c r="F23" s="25">
        <v>0.81599999999999995</v>
      </c>
      <c r="G23" s="24">
        <v>113</v>
      </c>
      <c r="H23" s="26">
        <v>8</v>
      </c>
      <c r="I23" s="26">
        <v>2</v>
      </c>
      <c r="J23" s="24">
        <v>124</v>
      </c>
      <c r="K23" s="24">
        <v>44</v>
      </c>
      <c r="L23" s="24">
        <v>1815</v>
      </c>
      <c r="M23" s="26">
        <f>L23/D23</f>
        <v>15.381355932203389</v>
      </c>
      <c r="N23" s="17"/>
    </row>
    <row r="24" spans="2:14" ht="15" customHeight="1">
      <c r="B24" s="15"/>
      <c r="C24" s="5"/>
      <c r="D24" s="5"/>
      <c r="E24" s="16"/>
      <c r="F24" s="16"/>
      <c r="G24" s="5"/>
      <c r="H24" s="17"/>
      <c r="I24" s="17"/>
      <c r="J24" s="5"/>
      <c r="K24" s="5"/>
      <c r="L24" s="17"/>
      <c r="M24" s="17"/>
    </row>
    <row r="25" spans="2:14" ht="15" customHeight="1">
      <c r="B25" s="30" t="s">
        <v>369</v>
      </c>
      <c r="N25" s="8"/>
    </row>
    <row r="26" spans="2:14" ht="15" customHeight="1">
      <c r="B26" s="19" t="s">
        <v>2</v>
      </c>
      <c r="C26" s="20" t="s">
        <v>3</v>
      </c>
      <c r="D26" s="21" t="s">
        <v>4</v>
      </c>
      <c r="E26" s="22" t="s">
        <v>5</v>
      </c>
      <c r="F26" s="22" t="s">
        <v>6</v>
      </c>
      <c r="G26" s="21" t="s">
        <v>7</v>
      </c>
      <c r="H26" s="23" t="s">
        <v>8</v>
      </c>
      <c r="I26" s="23" t="s">
        <v>9</v>
      </c>
      <c r="J26" s="21" t="s">
        <v>10</v>
      </c>
      <c r="K26" s="21" t="s">
        <v>11</v>
      </c>
      <c r="L26" s="21" t="s">
        <v>12</v>
      </c>
      <c r="M26" s="23" t="s">
        <v>13</v>
      </c>
      <c r="N26" s="12"/>
    </row>
    <row r="27" spans="2:14" ht="15" customHeight="1">
      <c r="B27" s="24" t="s">
        <v>367</v>
      </c>
      <c r="C27" s="18" t="s">
        <v>370</v>
      </c>
      <c r="D27" s="24">
        <v>23</v>
      </c>
      <c r="E27" s="25">
        <v>0.38500000000000001</v>
      </c>
      <c r="F27" s="25">
        <v>0.85899999999999999</v>
      </c>
      <c r="G27" s="24">
        <v>36</v>
      </c>
      <c r="H27" s="26">
        <v>5.4</v>
      </c>
      <c r="I27" s="26">
        <v>3.1</v>
      </c>
      <c r="J27" s="24">
        <v>40</v>
      </c>
      <c r="K27" s="24">
        <v>19</v>
      </c>
      <c r="L27" s="24">
        <v>275</v>
      </c>
      <c r="M27" s="26">
        <f>L27/D27</f>
        <v>11.956521739130435</v>
      </c>
      <c r="N27" s="12"/>
    </row>
    <row r="28" spans="2:14" ht="15" customHeight="1">
      <c r="B28" s="27" t="s">
        <v>15</v>
      </c>
      <c r="C28" s="18" t="s">
        <v>363</v>
      </c>
      <c r="D28" s="24">
        <v>108</v>
      </c>
      <c r="E28" s="25">
        <v>0.38700000000000001</v>
      </c>
      <c r="F28" s="25">
        <v>0.72199999999999998</v>
      </c>
      <c r="G28" s="24">
        <v>275</v>
      </c>
      <c r="H28" s="26">
        <v>6.6</v>
      </c>
      <c r="I28" s="26">
        <v>2.7</v>
      </c>
      <c r="J28" s="24">
        <v>189</v>
      </c>
      <c r="K28" s="24">
        <v>121</v>
      </c>
      <c r="L28" s="24">
        <v>1595</v>
      </c>
      <c r="M28" s="26">
        <f>L28/D28</f>
        <v>14.768518518518519</v>
      </c>
      <c r="N28" s="17"/>
    </row>
    <row r="29" spans="2:14" ht="15" customHeight="1">
      <c r="B29" s="15"/>
      <c r="C29" s="5"/>
      <c r="D29" s="5"/>
      <c r="E29" s="16"/>
      <c r="F29" s="16"/>
      <c r="G29" s="5"/>
      <c r="H29" s="17"/>
      <c r="I29" s="17"/>
      <c r="J29" s="5"/>
      <c r="K29" s="5"/>
      <c r="L29" s="17"/>
      <c r="M29" s="17"/>
    </row>
    <row r="30" spans="2:14" ht="15" customHeight="1">
      <c r="B30" s="15"/>
      <c r="C30" s="5"/>
      <c r="D30" s="5"/>
      <c r="E30" s="16"/>
      <c r="F30" s="16"/>
      <c r="G30" s="5"/>
      <c r="H30" s="17"/>
      <c r="I30" s="17"/>
      <c r="J30" s="5"/>
      <c r="K30" s="5"/>
      <c r="L30" s="17"/>
      <c r="M30" s="17"/>
    </row>
    <row r="31" spans="2:14" ht="15" customHeight="1">
      <c r="B31" s="30" t="s">
        <v>371</v>
      </c>
      <c r="N31" s="8"/>
    </row>
    <row r="32" spans="2:14" ht="15" customHeight="1">
      <c r="B32" s="19" t="s">
        <v>2</v>
      </c>
      <c r="C32" s="20" t="s">
        <v>3</v>
      </c>
      <c r="D32" s="21" t="s">
        <v>4</v>
      </c>
      <c r="E32" s="22" t="s">
        <v>5</v>
      </c>
      <c r="F32" s="22" t="s">
        <v>6</v>
      </c>
      <c r="G32" s="21" t="s">
        <v>7</v>
      </c>
      <c r="H32" s="23" t="s">
        <v>8</v>
      </c>
      <c r="I32" s="23" t="s">
        <v>9</v>
      </c>
      <c r="J32" s="21" t="s">
        <v>10</v>
      </c>
      <c r="K32" s="21" t="s">
        <v>11</v>
      </c>
      <c r="L32" s="21" t="s">
        <v>12</v>
      </c>
      <c r="M32" s="23" t="s">
        <v>13</v>
      </c>
      <c r="N32" s="12"/>
    </row>
    <row r="33" spans="2:14" ht="15" customHeight="1">
      <c r="B33" s="24" t="s">
        <v>372</v>
      </c>
      <c r="C33" s="18" t="s">
        <v>373</v>
      </c>
      <c r="D33" s="24">
        <v>31</v>
      </c>
      <c r="E33" s="25">
        <v>0.42199999999999999</v>
      </c>
      <c r="F33" s="25">
        <v>0.71599999999999997</v>
      </c>
      <c r="G33" s="24">
        <v>51</v>
      </c>
      <c r="H33" s="26">
        <v>7.3</v>
      </c>
      <c r="I33" s="26">
        <v>1.9</v>
      </c>
      <c r="J33" s="24">
        <v>33</v>
      </c>
      <c r="K33" s="24">
        <v>31</v>
      </c>
      <c r="L33" s="24">
        <v>427</v>
      </c>
      <c r="M33" s="26">
        <f>L33/D33</f>
        <v>13.774193548387096</v>
      </c>
      <c r="N33" s="12"/>
    </row>
    <row r="34" spans="2:14" ht="15" customHeight="1">
      <c r="B34" s="27" t="s">
        <v>15</v>
      </c>
      <c r="C34" s="18" t="s">
        <v>374</v>
      </c>
      <c r="D34" s="24">
        <v>141</v>
      </c>
      <c r="E34" s="25">
        <v>0.438</v>
      </c>
      <c r="F34" s="25">
        <v>0.754</v>
      </c>
      <c r="G34" s="24">
        <v>162</v>
      </c>
      <c r="H34" s="26">
        <v>6.4</v>
      </c>
      <c r="I34" s="26">
        <v>1.2</v>
      </c>
      <c r="J34" s="24">
        <v>138</v>
      </c>
      <c r="K34" s="24">
        <v>117</v>
      </c>
      <c r="L34" s="24">
        <v>1671</v>
      </c>
      <c r="M34" s="26">
        <f>L34/D34</f>
        <v>11.851063829787234</v>
      </c>
      <c r="N34" s="17"/>
    </row>
    <row r="35" spans="2:14" ht="15" customHeight="1">
      <c r="B35" s="15"/>
      <c r="C35" s="5"/>
      <c r="D35" s="5"/>
      <c r="E35" s="16"/>
      <c r="F35" s="16"/>
      <c r="G35" s="5"/>
      <c r="H35" s="17"/>
      <c r="I35" s="17"/>
      <c r="J35" s="5"/>
      <c r="K35" s="5"/>
      <c r="L35" s="17"/>
      <c r="M35" s="17"/>
    </row>
    <row r="36" spans="2:14" ht="15" customHeight="1">
      <c r="B36" s="30" t="s">
        <v>375</v>
      </c>
      <c r="N36" s="8"/>
    </row>
    <row r="37" spans="2:14" ht="15" customHeight="1">
      <c r="B37" s="19" t="s">
        <v>2</v>
      </c>
      <c r="C37" s="20" t="s">
        <v>3</v>
      </c>
      <c r="D37" s="21" t="s">
        <v>4</v>
      </c>
      <c r="E37" s="22" t="s">
        <v>5</v>
      </c>
      <c r="F37" s="22" t="s">
        <v>6</v>
      </c>
      <c r="G37" s="21" t="s">
        <v>7</v>
      </c>
      <c r="H37" s="23" t="s">
        <v>8</v>
      </c>
      <c r="I37" s="23" t="s">
        <v>9</v>
      </c>
      <c r="J37" s="21" t="s">
        <v>10</v>
      </c>
      <c r="K37" s="21" t="s">
        <v>11</v>
      </c>
      <c r="L37" s="21" t="s">
        <v>12</v>
      </c>
      <c r="M37" s="23" t="s">
        <v>13</v>
      </c>
      <c r="N37" s="12"/>
    </row>
    <row r="38" spans="2:14" ht="15" customHeight="1">
      <c r="B38" s="24" t="s">
        <v>372</v>
      </c>
      <c r="C38" s="18" t="s">
        <v>376</v>
      </c>
      <c r="D38" s="24">
        <v>32</v>
      </c>
      <c r="E38" s="25">
        <v>0.41899999999999998</v>
      </c>
      <c r="F38" s="25">
        <v>0.65600000000000003</v>
      </c>
      <c r="G38" s="24">
        <v>47</v>
      </c>
      <c r="H38" s="26">
        <v>6.4</v>
      </c>
      <c r="I38" s="26">
        <v>5.3</v>
      </c>
      <c r="J38" s="24">
        <v>59</v>
      </c>
      <c r="K38" s="24">
        <v>7</v>
      </c>
      <c r="L38" s="24">
        <v>628</v>
      </c>
      <c r="M38" s="26">
        <f>L38/D38</f>
        <v>19.625</v>
      </c>
      <c r="N38" s="12"/>
    </row>
    <row r="39" spans="2:14" ht="15" customHeight="1">
      <c r="B39" s="27" t="s">
        <v>15</v>
      </c>
      <c r="C39" s="18" t="s">
        <v>374</v>
      </c>
      <c r="D39" s="24">
        <v>142</v>
      </c>
      <c r="E39" s="25">
        <v>0.40799999999999997</v>
      </c>
      <c r="F39" s="25">
        <v>0.65800000000000003</v>
      </c>
      <c r="G39" s="24">
        <v>119</v>
      </c>
      <c r="H39" s="26">
        <v>6</v>
      </c>
      <c r="I39" s="26">
        <v>4.2</v>
      </c>
      <c r="J39" s="24">
        <v>249</v>
      </c>
      <c r="K39" s="24">
        <v>18</v>
      </c>
      <c r="L39" s="24">
        <v>1934</v>
      </c>
      <c r="M39" s="26">
        <f>L39/D39</f>
        <v>13.619718309859154</v>
      </c>
      <c r="N39" s="17"/>
    </row>
    <row r="40" spans="2:14" ht="15" customHeight="1">
      <c r="B40" s="15"/>
      <c r="C40" s="5"/>
      <c r="D40" s="5"/>
      <c r="E40" s="16"/>
      <c r="F40" s="16"/>
      <c r="G40" s="5"/>
      <c r="H40" s="17"/>
      <c r="I40" s="17"/>
      <c r="J40" s="5"/>
      <c r="K40" s="5"/>
      <c r="L40" s="17"/>
      <c r="M40" s="17"/>
    </row>
    <row r="41" spans="2:14" ht="15" customHeight="1">
      <c r="B41" s="30" t="s">
        <v>377</v>
      </c>
      <c r="N41" s="8"/>
    </row>
    <row r="42" spans="2:14" ht="15" customHeight="1">
      <c r="B42" s="19" t="s">
        <v>2</v>
      </c>
      <c r="C42" s="20" t="s">
        <v>3</v>
      </c>
      <c r="D42" s="21" t="s">
        <v>4</v>
      </c>
      <c r="E42" s="22" t="s">
        <v>5</v>
      </c>
      <c r="F42" s="22" t="s">
        <v>6</v>
      </c>
      <c r="G42" s="21" t="s">
        <v>7</v>
      </c>
      <c r="H42" s="23" t="s">
        <v>8</v>
      </c>
      <c r="I42" s="23" t="s">
        <v>9</v>
      </c>
      <c r="J42" s="21" t="s">
        <v>10</v>
      </c>
      <c r="K42" s="21" t="s">
        <v>11</v>
      </c>
      <c r="L42" s="21" t="s">
        <v>12</v>
      </c>
      <c r="M42" s="23" t="s">
        <v>13</v>
      </c>
      <c r="N42" s="12"/>
    </row>
    <row r="43" spans="2:14" ht="15" customHeight="1">
      <c r="B43" s="24" t="s">
        <v>372</v>
      </c>
      <c r="C43" s="18" t="s">
        <v>378</v>
      </c>
      <c r="D43" s="24">
        <v>33</v>
      </c>
      <c r="E43" s="25">
        <v>0.45400000000000001</v>
      </c>
      <c r="F43" s="25">
        <v>0.68500000000000005</v>
      </c>
      <c r="G43" s="24">
        <v>50</v>
      </c>
      <c r="H43" s="26">
        <v>3.4</v>
      </c>
      <c r="I43" s="26">
        <v>2.2999999999999998</v>
      </c>
      <c r="J43" s="24">
        <v>49</v>
      </c>
      <c r="K43" s="24">
        <v>13</v>
      </c>
      <c r="L43" s="24">
        <v>468</v>
      </c>
      <c r="M43" s="26">
        <f>L43/D43</f>
        <v>14.181818181818182</v>
      </c>
      <c r="N43" s="12"/>
    </row>
    <row r="44" spans="2:14" ht="15" customHeight="1">
      <c r="B44" s="27" t="s">
        <v>15</v>
      </c>
      <c r="C44" s="18" t="s">
        <v>363</v>
      </c>
      <c r="D44" s="24">
        <v>132</v>
      </c>
      <c r="E44" s="25">
        <v>0.47099999999999997</v>
      </c>
      <c r="F44" s="25">
        <v>0.71599999999999997</v>
      </c>
      <c r="G44" s="24">
        <v>189</v>
      </c>
      <c r="H44" s="26">
        <v>3.9</v>
      </c>
      <c r="I44" s="26">
        <v>2.2999999999999998</v>
      </c>
      <c r="J44" s="24">
        <v>162</v>
      </c>
      <c r="K44" s="24">
        <v>41</v>
      </c>
      <c r="L44" s="24">
        <v>1850</v>
      </c>
      <c r="M44" s="26">
        <f>L44/D44</f>
        <v>14.015151515151516</v>
      </c>
      <c r="N44" s="17"/>
    </row>
    <row r="45" spans="2:14" ht="15" customHeight="1">
      <c r="B45" s="15"/>
      <c r="C45" s="5"/>
      <c r="D45" s="5"/>
      <c r="E45" s="16"/>
      <c r="F45" s="16"/>
      <c r="G45" s="5"/>
      <c r="H45" s="17"/>
      <c r="I45" s="17"/>
      <c r="J45" s="5"/>
      <c r="K45" s="5"/>
      <c r="L45" s="17"/>
      <c r="M45" s="17"/>
    </row>
    <row r="46" spans="2:14" ht="15" customHeight="1">
      <c r="B46" s="30" t="s">
        <v>379</v>
      </c>
      <c r="N46" s="8"/>
    </row>
    <row r="47" spans="2:14" ht="15" customHeight="1">
      <c r="B47" s="19" t="s">
        <v>2</v>
      </c>
      <c r="C47" s="20" t="s">
        <v>3</v>
      </c>
      <c r="D47" s="21" t="s">
        <v>4</v>
      </c>
      <c r="E47" s="22" t="s">
        <v>5</v>
      </c>
      <c r="F47" s="22" t="s">
        <v>6</v>
      </c>
      <c r="G47" s="21" t="s">
        <v>7</v>
      </c>
      <c r="H47" s="23" t="s">
        <v>8</v>
      </c>
      <c r="I47" s="23" t="s">
        <v>9</v>
      </c>
      <c r="J47" s="21" t="s">
        <v>10</v>
      </c>
      <c r="K47" s="21" t="s">
        <v>11</v>
      </c>
      <c r="L47" s="21" t="s">
        <v>12</v>
      </c>
      <c r="M47" s="23" t="s">
        <v>13</v>
      </c>
      <c r="N47" s="12"/>
    </row>
    <row r="48" spans="2:14" ht="15" customHeight="1">
      <c r="B48" s="24" t="s">
        <v>372</v>
      </c>
      <c r="C48" s="18" t="s">
        <v>380</v>
      </c>
      <c r="D48" s="24">
        <v>34</v>
      </c>
      <c r="E48" s="25">
        <v>0.42899999999999999</v>
      </c>
      <c r="F48" s="25">
        <v>0.68799999999999994</v>
      </c>
      <c r="G48" s="24">
        <v>62</v>
      </c>
      <c r="H48" s="26">
        <v>3</v>
      </c>
      <c r="I48" s="26">
        <v>2.7</v>
      </c>
      <c r="J48" s="24">
        <v>34</v>
      </c>
      <c r="K48" s="24">
        <v>9</v>
      </c>
      <c r="L48" s="24">
        <v>407</v>
      </c>
      <c r="M48" s="26">
        <f>L48/D48</f>
        <v>11.970588235294118</v>
      </c>
      <c r="N48" s="12"/>
    </row>
    <row r="49" spans="2:14" ht="15" customHeight="1">
      <c r="B49" s="27" t="s">
        <v>15</v>
      </c>
      <c r="C49" s="18" t="s">
        <v>363</v>
      </c>
      <c r="D49" s="24">
        <v>127</v>
      </c>
      <c r="E49" s="25">
        <v>0.41599999999999998</v>
      </c>
      <c r="F49" s="25">
        <v>0.7</v>
      </c>
      <c r="G49" s="24">
        <v>208</v>
      </c>
      <c r="H49" s="26">
        <v>3</v>
      </c>
      <c r="I49" s="26">
        <v>3.1</v>
      </c>
      <c r="J49" s="24">
        <v>102</v>
      </c>
      <c r="K49" s="24">
        <v>40</v>
      </c>
      <c r="L49" s="24">
        <v>1326</v>
      </c>
      <c r="M49" s="26">
        <f>L49/D49</f>
        <v>10.440944881889763</v>
      </c>
      <c r="N49" s="17"/>
    </row>
    <row r="50" spans="2:14" ht="15" customHeight="1">
      <c r="B50" s="15"/>
      <c r="C50" s="5"/>
      <c r="D50" s="5"/>
      <c r="E50" s="16"/>
      <c r="F50" s="16"/>
      <c r="G50" s="5"/>
      <c r="H50" s="17"/>
      <c r="I50" s="17"/>
      <c r="J50" s="5"/>
      <c r="K50" s="5"/>
      <c r="L50" s="17"/>
      <c r="M50" s="17"/>
    </row>
    <row r="51" spans="2:14" ht="15" customHeight="1">
      <c r="B51" s="30" t="s">
        <v>381</v>
      </c>
      <c r="N51" s="8"/>
    </row>
    <row r="52" spans="2:14" ht="15" customHeight="1">
      <c r="B52" s="19" t="s">
        <v>2</v>
      </c>
      <c r="C52" s="20" t="s">
        <v>3</v>
      </c>
      <c r="D52" s="21" t="s">
        <v>4</v>
      </c>
      <c r="E52" s="22" t="s">
        <v>5</v>
      </c>
      <c r="F52" s="22" t="s">
        <v>6</v>
      </c>
      <c r="G52" s="21" t="s">
        <v>7</v>
      </c>
      <c r="H52" s="23" t="s">
        <v>8</v>
      </c>
      <c r="I52" s="23" t="s">
        <v>9</v>
      </c>
      <c r="J52" s="21" t="s">
        <v>10</v>
      </c>
      <c r="K52" s="21" t="s">
        <v>11</v>
      </c>
      <c r="L52" s="21" t="s">
        <v>12</v>
      </c>
      <c r="M52" s="23" t="s">
        <v>13</v>
      </c>
      <c r="N52" s="12"/>
    </row>
    <row r="53" spans="2:14" ht="15" customHeight="1">
      <c r="B53" s="24" t="s">
        <v>372</v>
      </c>
      <c r="C53" s="18" t="s">
        <v>358</v>
      </c>
      <c r="D53" s="24">
        <v>36</v>
      </c>
      <c r="E53" s="25">
        <v>0.53100000000000003</v>
      </c>
      <c r="F53" s="25">
        <v>0.83499999999999996</v>
      </c>
      <c r="G53" s="24">
        <v>13</v>
      </c>
      <c r="H53" s="26">
        <v>7.6</v>
      </c>
      <c r="I53" s="26">
        <v>1.3</v>
      </c>
      <c r="J53" s="24">
        <v>26</v>
      </c>
      <c r="K53" s="24">
        <v>31</v>
      </c>
      <c r="L53" s="24">
        <v>493</v>
      </c>
      <c r="M53" s="26">
        <f>L53/D53</f>
        <v>13.694444444444445</v>
      </c>
      <c r="N53" s="12"/>
    </row>
    <row r="54" spans="2:14" ht="15" customHeight="1">
      <c r="B54" s="27" t="s">
        <v>15</v>
      </c>
      <c r="C54" s="18" t="s">
        <v>363</v>
      </c>
      <c r="D54" s="24">
        <v>125</v>
      </c>
      <c r="E54" s="25">
        <v>0.54</v>
      </c>
      <c r="F54" s="25">
        <v>0.80200000000000005</v>
      </c>
      <c r="G54" s="24">
        <v>46</v>
      </c>
      <c r="H54" s="26">
        <v>7.9</v>
      </c>
      <c r="I54" s="26">
        <v>1.3</v>
      </c>
      <c r="J54" s="24">
        <v>62</v>
      </c>
      <c r="K54" s="24">
        <v>114</v>
      </c>
      <c r="L54" s="24">
        <v>1855</v>
      </c>
      <c r="M54" s="26">
        <f>L54/D54</f>
        <v>14.84</v>
      </c>
      <c r="N54" s="17"/>
    </row>
    <row r="55" spans="2:14" ht="15" customHeight="1">
      <c r="B55" s="15"/>
      <c r="C55" s="5"/>
      <c r="D55" s="5"/>
      <c r="E55" s="16"/>
      <c r="F55" s="16"/>
      <c r="G55" s="5"/>
      <c r="H55" s="17"/>
      <c r="I55" s="17"/>
      <c r="J55" s="5"/>
      <c r="K55" s="5"/>
      <c r="L55" s="17"/>
      <c r="M55" s="17"/>
    </row>
    <row r="56" spans="2:14" ht="15" customHeight="1">
      <c r="B56" s="30" t="s">
        <v>382</v>
      </c>
      <c r="N56" s="8"/>
    </row>
    <row r="57" spans="2:14" ht="15" customHeight="1">
      <c r="B57" s="19" t="s">
        <v>2</v>
      </c>
      <c r="C57" s="20" t="s">
        <v>3</v>
      </c>
      <c r="D57" s="21" t="s">
        <v>4</v>
      </c>
      <c r="E57" s="22" t="s">
        <v>5</v>
      </c>
      <c r="F57" s="22" t="s">
        <v>6</v>
      </c>
      <c r="G57" s="21" t="s">
        <v>7</v>
      </c>
      <c r="H57" s="23" t="s">
        <v>8</v>
      </c>
      <c r="I57" s="23" t="s">
        <v>9</v>
      </c>
      <c r="J57" s="21" t="s">
        <v>10</v>
      </c>
      <c r="K57" s="21" t="s">
        <v>11</v>
      </c>
      <c r="L57" s="21" t="s">
        <v>12</v>
      </c>
      <c r="M57" s="23" t="s">
        <v>13</v>
      </c>
      <c r="N57" s="12"/>
    </row>
    <row r="58" spans="2:14" ht="15" customHeight="1">
      <c r="B58" s="24" t="s">
        <v>372</v>
      </c>
      <c r="C58" s="18" t="s">
        <v>383</v>
      </c>
      <c r="D58" s="24">
        <v>33</v>
      </c>
      <c r="E58" s="25">
        <v>0.39400000000000002</v>
      </c>
      <c r="F58" s="25">
        <v>0.88900000000000001</v>
      </c>
      <c r="G58" s="24">
        <v>96</v>
      </c>
      <c r="H58" s="26">
        <v>3.3</v>
      </c>
      <c r="I58" s="26">
        <v>2.6</v>
      </c>
      <c r="J58" s="24">
        <v>23</v>
      </c>
      <c r="K58" s="24">
        <v>6</v>
      </c>
      <c r="L58" s="24">
        <v>438</v>
      </c>
      <c r="M58" s="26">
        <f>L58/D58</f>
        <v>13.272727272727273</v>
      </c>
      <c r="N58" s="12"/>
    </row>
    <row r="59" spans="2:14" ht="15" customHeight="1">
      <c r="B59" s="27" t="s">
        <v>15</v>
      </c>
      <c r="C59" s="18" t="s">
        <v>374</v>
      </c>
      <c r="D59" s="24">
        <v>159</v>
      </c>
      <c r="E59" s="25">
        <v>0.38700000000000001</v>
      </c>
      <c r="F59" s="25">
        <v>0.82099999999999995</v>
      </c>
      <c r="G59" s="24">
        <v>402</v>
      </c>
      <c r="H59" s="26">
        <v>2.5</v>
      </c>
      <c r="I59" s="26">
        <v>1.9</v>
      </c>
      <c r="J59" s="24">
        <v>139</v>
      </c>
      <c r="K59" s="24">
        <v>38</v>
      </c>
      <c r="L59" s="24">
        <v>1883</v>
      </c>
      <c r="M59" s="26">
        <f>L59/D59</f>
        <v>11.842767295597485</v>
      </c>
      <c r="N59" s="17"/>
    </row>
    <row r="60" spans="2:14" ht="15" customHeight="1">
      <c r="B60" s="15"/>
      <c r="C60" s="5"/>
      <c r="D60" s="5"/>
      <c r="E60" s="16"/>
      <c r="F60" s="16"/>
      <c r="G60" s="5"/>
      <c r="H60" s="17"/>
      <c r="I60" s="17"/>
      <c r="J60" s="5"/>
      <c r="K60" s="5"/>
      <c r="L60" s="17"/>
      <c r="M60" s="17"/>
    </row>
    <row r="61" spans="2:14" ht="15" customHeight="1">
      <c r="B61" s="30" t="s">
        <v>384</v>
      </c>
      <c r="N61" s="8"/>
    </row>
    <row r="62" spans="2:14" ht="15" customHeight="1">
      <c r="B62" s="19" t="s">
        <v>2</v>
      </c>
      <c r="C62" s="20" t="s">
        <v>3</v>
      </c>
      <c r="D62" s="21" t="s">
        <v>4</v>
      </c>
      <c r="E62" s="22" t="s">
        <v>5</v>
      </c>
      <c r="F62" s="22" t="s">
        <v>6</v>
      </c>
      <c r="G62" s="21" t="s">
        <v>7</v>
      </c>
      <c r="H62" s="23" t="s">
        <v>8</v>
      </c>
      <c r="I62" s="23" t="s">
        <v>9</v>
      </c>
      <c r="J62" s="21" t="s">
        <v>10</v>
      </c>
      <c r="K62" s="21" t="s">
        <v>11</v>
      </c>
      <c r="L62" s="21" t="s">
        <v>12</v>
      </c>
      <c r="M62" s="23" t="s">
        <v>13</v>
      </c>
      <c r="N62" s="12"/>
    </row>
    <row r="63" spans="2:14" ht="15" customHeight="1">
      <c r="B63" s="24" t="s">
        <v>372</v>
      </c>
      <c r="C63" s="18" t="s">
        <v>385</v>
      </c>
      <c r="D63" s="24">
        <v>29</v>
      </c>
      <c r="E63" s="25">
        <v>0.434</v>
      </c>
      <c r="F63" s="25">
        <v>0.76100000000000001</v>
      </c>
      <c r="G63" s="24">
        <v>48</v>
      </c>
      <c r="H63" s="26">
        <v>3</v>
      </c>
      <c r="I63" s="26">
        <v>2.1</v>
      </c>
      <c r="J63" s="24">
        <v>44</v>
      </c>
      <c r="K63" s="24">
        <v>29</v>
      </c>
      <c r="L63" s="24">
        <v>247</v>
      </c>
      <c r="M63" s="26">
        <f>L63/D63</f>
        <v>8.5172413793103452</v>
      </c>
      <c r="N63" s="12"/>
    </row>
    <row r="64" spans="2:14" ht="15" customHeight="1">
      <c r="B64" s="27" t="s">
        <v>15</v>
      </c>
      <c r="C64" s="18" t="s">
        <v>374</v>
      </c>
      <c r="D64" s="24">
        <v>154</v>
      </c>
      <c r="E64" s="25">
        <v>0.41799999999999998</v>
      </c>
      <c r="F64" s="25">
        <v>0.78200000000000003</v>
      </c>
      <c r="G64" s="24">
        <v>219</v>
      </c>
      <c r="H64" s="26">
        <v>4.0999999999999996</v>
      </c>
      <c r="I64" s="26">
        <v>1.7</v>
      </c>
      <c r="J64" s="24">
        <v>264</v>
      </c>
      <c r="K64" s="24">
        <v>198</v>
      </c>
      <c r="L64" s="24">
        <v>1382</v>
      </c>
      <c r="M64" s="26">
        <f>L64/D64</f>
        <v>8.9740259740259738</v>
      </c>
      <c r="N64" s="17"/>
    </row>
    <row r="65" spans="2:14" ht="15" customHeight="1">
      <c r="B65" s="15"/>
      <c r="C65" s="5"/>
      <c r="D65" s="5"/>
      <c r="E65" s="16"/>
      <c r="F65" s="16"/>
      <c r="G65" s="5"/>
      <c r="H65" s="17"/>
      <c r="I65" s="17"/>
      <c r="J65" s="5"/>
      <c r="K65" s="5"/>
      <c r="L65" s="17"/>
      <c r="M65" s="17"/>
    </row>
    <row r="66" spans="2:14" ht="15" customHeight="1">
      <c r="B66" s="30" t="s">
        <v>386</v>
      </c>
      <c r="N66" s="8"/>
    </row>
    <row r="67" spans="2:14" ht="15" customHeight="1">
      <c r="B67" s="19" t="s">
        <v>2</v>
      </c>
      <c r="C67" s="20" t="s">
        <v>3</v>
      </c>
      <c r="D67" s="21" t="s">
        <v>4</v>
      </c>
      <c r="E67" s="22" t="s">
        <v>5</v>
      </c>
      <c r="F67" s="22" t="s">
        <v>6</v>
      </c>
      <c r="G67" s="21" t="s">
        <v>7</v>
      </c>
      <c r="H67" s="23" t="s">
        <v>8</v>
      </c>
      <c r="I67" s="23" t="s">
        <v>9</v>
      </c>
      <c r="J67" s="21" t="s">
        <v>10</v>
      </c>
      <c r="K67" s="21" t="s">
        <v>11</v>
      </c>
      <c r="L67" s="21" t="s">
        <v>12</v>
      </c>
      <c r="M67" s="23" t="s">
        <v>13</v>
      </c>
      <c r="N67" s="12"/>
    </row>
    <row r="68" spans="2:14" ht="15" customHeight="1">
      <c r="B68" s="24" t="s">
        <v>372</v>
      </c>
      <c r="C68" s="18" t="s">
        <v>387</v>
      </c>
      <c r="D68" s="24">
        <v>32</v>
      </c>
      <c r="E68" s="25">
        <v>0.42</v>
      </c>
      <c r="F68" s="25">
        <v>0.67</v>
      </c>
      <c r="G68" s="24">
        <v>4</v>
      </c>
      <c r="H68" s="26">
        <v>11.1</v>
      </c>
      <c r="I68" s="26">
        <v>4.3</v>
      </c>
      <c r="J68" s="24">
        <v>44</v>
      </c>
      <c r="K68" s="24">
        <v>41</v>
      </c>
      <c r="L68" s="24">
        <v>321</v>
      </c>
      <c r="M68" s="26">
        <f>L68/D68</f>
        <v>10.03125</v>
      </c>
      <c r="N68" s="12"/>
    </row>
    <row r="69" spans="2:14" ht="15" customHeight="1">
      <c r="B69" s="27" t="s">
        <v>15</v>
      </c>
      <c r="C69" s="18" t="s">
        <v>374</v>
      </c>
      <c r="D69" s="24">
        <v>153</v>
      </c>
      <c r="E69" s="25">
        <v>0.41699999999999998</v>
      </c>
      <c r="F69" s="25">
        <v>0.58399999999999996</v>
      </c>
      <c r="G69" s="24">
        <v>19</v>
      </c>
      <c r="H69" s="26">
        <v>8.3000000000000007</v>
      </c>
      <c r="I69" s="26">
        <v>2.6</v>
      </c>
      <c r="J69" s="24">
        <v>204</v>
      </c>
      <c r="K69" s="24">
        <v>169</v>
      </c>
      <c r="L69" s="24">
        <v>1293</v>
      </c>
      <c r="M69" s="26">
        <f>L69/D69</f>
        <v>8.4509803921568629</v>
      </c>
      <c r="N69" s="17"/>
    </row>
    <row r="70" spans="2:14" ht="15" customHeight="1">
      <c r="B70" s="15"/>
      <c r="C70" s="5"/>
      <c r="D70" s="5"/>
      <c r="E70" s="16"/>
      <c r="F70" s="16"/>
      <c r="G70" s="5"/>
      <c r="H70" s="17"/>
      <c r="I70" s="17"/>
      <c r="J70" s="5"/>
      <c r="K70" s="5"/>
      <c r="L70" s="17"/>
      <c r="M70" s="17"/>
    </row>
    <row r="71" spans="2:14" ht="15" customHeight="1">
      <c r="B71" s="30" t="s">
        <v>388</v>
      </c>
      <c r="N71" s="8"/>
    </row>
    <row r="72" spans="2:14" ht="15" customHeight="1">
      <c r="B72" s="19" t="s">
        <v>2</v>
      </c>
      <c r="C72" s="20" t="s">
        <v>3</v>
      </c>
      <c r="D72" s="21" t="s">
        <v>4</v>
      </c>
      <c r="E72" s="22" t="s">
        <v>5</v>
      </c>
      <c r="F72" s="22" t="s">
        <v>6</v>
      </c>
      <c r="G72" s="21" t="s">
        <v>7</v>
      </c>
      <c r="H72" s="23" t="s">
        <v>8</v>
      </c>
      <c r="I72" s="23" t="s">
        <v>9</v>
      </c>
      <c r="J72" s="21" t="s">
        <v>10</v>
      </c>
      <c r="K72" s="21" t="s">
        <v>11</v>
      </c>
      <c r="L72" s="21" t="s">
        <v>12</v>
      </c>
      <c r="M72" s="23" t="s">
        <v>13</v>
      </c>
      <c r="N72" s="12"/>
    </row>
    <row r="73" spans="2:14" ht="15" customHeight="1">
      <c r="B73" s="24" t="s">
        <v>372</v>
      </c>
      <c r="C73" s="18" t="s">
        <v>389</v>
      </c>
      <c r="D73" s="24">
        <v>31</v>
      </c>
      <c r="E73" s="25">
        <v>0.40100000000000002</v>
      </c>
      <c r="F73" s="25">
        <v>0.80900000000000005</v>
      </c>
      <c r="G73" s="24">
        <v>25</v>
      </c>
      <c r="H73" s="26">
        <v>10.199999999999999</v>
      </c>
      <c r="I73" s="26">
        <v>2.1</v>
      </c>
      <c r="J73" s="24">
        <v>60</v>
      </c>
      <c r="K73" s="24">
        <v>29</v>
      </c>
      <c r="L73" s="24">
        <v>781</v>
      </c>
      <c r="M73" s="26">
        <f>L73/D73</f>
        <v>25.193548387096776</v>
      </c>
      <c r="N73" s="12"/>
    </row>
    <row r="74" spans="2:14" ht="15" customHeight="1">
      <c r="B74" s="27" t="s">
        <v>15</v>
      </c>
      <c r="C74" s="18" t="s">
        <v>363</v>
      </c>
      <c r="D74" s="24">
        <v>112</v>
      </c>
      <c r="E74" s="25">
        <v>0.38700000000000001</v>
      </c>
      <c r="F74" s="25">
        <v>0.76200000000000001</v>
      </c>
      <c r="G74" s="24">
        <v>40</v>
      </c>
      <c r="H74" s="26">
        <v>9.3000000000000007</v>
      </c>
      <c r="I74" s="26">
        <v>1.7</v>
      </c>
      <c r="J74" s="24">
        <v>213</v>
      </c>
      <c r="K74" s="24">
        <v>82</v>
      </c>
      <c r="L74" s="24">
        <v>1979</v>
      </c>
      <c r="M74" s="26">
        <f>L74/D74</f>
        <v>17.669642857142858</v>
      </c>
      <c r="N74" s="17"/>
    </row>
    <row r="75" spans="2:14" ht="15" customHeight="1">
      <c r="B75" s="15"/>
      <c r="C75" s="5"/>
      <c r="D75" s="5"/>
      <c r="E75" s="16"/>
      <c r="F75" s="16"/>
      <c r="G75" s="5"/>
      <c r="H75" s="17"/>
      <c r="I75" s="17"/>
      <c r="J75" s="5"/>
      <c r="K75" s="5"/>
      <c r="L75" s="17"/>
      <c r="M75" s="17"/>
    </row>
    <row r="76" spans="2:14" ht="15" customHeight="1">
      <c r="B76" s="30" t="s">
        <v>390</v>
      </c>
      <c r="N76" s="8"/>
    </row>
    <row r="77" spans="2:14" ht="15" customHeight="1">
      <c r="B77" s="19" t="s">
        <v>2</v>
      </c>
      <c r="C77" s="20" t="s">
        <v>3</v>
      </c>
      <c r="D77" s="21" t="s">
        <v>4</v>
      </c>
      <c r="E77" s="22" t="s">
        <v>5</v>
      </c>
      <c r="F77" s="22" t="s">
        <v>6</v>
      </c>
      <c r="G77" s="21" t="s">
        <v>7</v>
      </c>
      <c r="H77" s="23" t="s">
        <v>8</v>
      </c>
      <c r="I77" s="23" t="s">
        <v>9</v>
      </c>
      <c r="J77" s="21" t="s">
        <v>10</v>
      </c>
      <c r="K77" s="21" t="s">
        <v>11</v>
      </c>
      <c r="L77" s="21" t="s">
        <v>12</v>
      </c>
      <c r="M77" s="23" t="s">
        <v>13</v>
      </c>
      <c r="N77" s="12"/>
    </row>
    <row r="78" spans="2:14" ht="15" customHeight="1">
      <c r="B78" s="24" t="s">
        <v>391</v>
      </c>
      <c r="C78" s="18" t="s">
        <v>392</v>
      </c>
      <c r="D78" s="24">
        <v>31</v>
      </c>
      <c r="E78" s="25">
        <v>0.46800000000000003</v>
      </c>
      <c r="F78" s="25">
        <v>0.78100000000000003</v>
      </c>
      <c r="G78" s="24">
        <v>3</v>
      </c>
      <c r="H78" s="26">
        <v>6.4</v>
      </c>
      <c r="I78" s="26">
        <v>1.7</v>
      </c>
      <c r="J78" s="24">
        <v>40</v>
      </c>
      <c r="K78" s="24">
        <v>7</v>
      </c>
      <c r="L78" s="24">
        <v>571</v>
      </c>
      <c r="M78" s="26">
        <f>L78/D78</f>
        <v>18.419354838709676</v>
      </c>
      <c r="N78" s="12"/>
    </row>
    <row r="79" spans="2:14" ht="15" customHeight="1">
      <c r="B79" s="27" t="s">
        <v>15</v>
      </c>
      <c r="C79" s="18" t="s">
        <v>363</v>
      </c>
      <c r="D79" s="24">
        <v>52</v>
      </c>
      <c r="E79" s="25">
        <v>0.44900000000000001</v>
      </c>
      <c r="F79" s="25">
        <v>0.751</v>
      </c>
      <c r="G79" s="24">
        <v>4</v>
      </c>
      <c r="H79" s="26">
        <v>4.9000000000000004</v>
      </c>
      <c r="I79" s="26">
        <v>1.2</v>
      </c>
      <c r="J79" s="24">
        <v>50</v>
      </c>
      <c r="K79" s="24">
        <v>11</v>
      </c>
      <c r="L79" s="24">
        <v>683</v>
      </c>
      <c r="M79" s="26">
        <f>L79/D79</f>
        <v>13.134615384615385</v>
      </c>
      <c r="N79" s="17"/>
    </row>
    <row r="80" spans="2:14" ht="15" customHeight="1">
      <c r="B80" s="15"/>
      <c r="C80" s="5"/>
      <c r="D80" s="5"/>
      <c r="E80" s="16"/>
      <c r="F80" s="16"/>
      <c r="G80" s="5"/>
      <c r="H80" s="17"/>
      <c r="I80" s="17"/>
      <c r="J80" s="5"/>
      <c r="K80" s="5"/>
      <c r="L80" s="17"/>
      <c r="M80" s="17"/>
    </row>
    <row r="81" spans="2:14" ht="15" customHeight="1">
      <c r="B81" s="30" t="s">
        <v>393</v>
      </c>
      <c r="N81" s="8"/>
    </row>
    <row r="82" spans="2:14" ht="15" customHeight="1">
      <c r="B82" s="19" t="s">
        <v>2</v>
      </c>
      <c r="C82" s="20" t="s">
        <v>3</v>
      </c>
      <c r="D82" s="21" t="s">
        <v>4</v>
      </c>
      <c r="E82" s="22" t="s">
        <v>5</v>
      </c>
      <c r="F82" s="22" t="s">
        <v>6</v>
      </c>
      <c r="G82" s="21" t="s">
        <v>7</v>
      </c>
      <c r="H82" s="23" t="s">
        <v>8</v>
      </c>
      <c r="I82" s="23" t="s">
        <v>9</v>
      </c>
      <c r="J82" s="21" t="s">
        <v>10</v>
      </c>
      <c r="K82" s="21" t="s">
        <v>11</v>
      </c>
      <c r="L82" s="21" t="s">
        <v>12</v>
      </c>
      <c r="M82" s="23" t="s">
        <v>13</v>
      </c>
      <c r="N82" s="12"/>
    </row>
    <row r="83" spans="2:14" ht="15" customHeight="1">
      <c r="B83" s="24" t="s">
        <v>372</v>
      </c>
      <c r="C83" s="18" t="s">
        <v>394</v>
      </c>
      <c r="D83" s="24">
        <v>30</v>
      </c>
      <c r="E83" s="25">
        <v>0.438</v>
      </c>
      <c r="F83" s="25">
        <v>0.85899999999999999</v>
      </c>
      <c r="G83" s="24">
        <v>76</v>
      </c>
      <c r="H83" s="26">
        <v>6.9</v>
      </c>
      <c r="I83" s="26">
        <v>1</v>
      </c>
      <c r="J83" s="24">
        <v>46</v>
      </c>
      <c r="K83" s="24">
        <v>17</v>
      </c>
      <c r="L83" s="24">
        <v>534</v>
      </c>
      <c r="M83" s="26">
        <f>L83/D83</f>
        <v>17.8</v>
      </c>
      <c r="N83" s="12"/>
    </row>
    <row r="84" spans="2:14" ht="15" customHeight="1">
      <c r="B84" s="27" t="s">
        <v>15</v>
      </c>
      <c r="C84" s="18" t="s">
        <v>374</v>
      </c>
      <c r="D84" s="24">
        <v>126</v>
      </c>
      <c r="E84" s="25">
        <v>0.438</v>
      </c>
      <c r="F84" s="25">
        <v>0.80600000000000005</v>
      </c>
      <c r="G84" s="24">
        <v>205</v>
      </c>
      <c r="H84" s="26">
        <v>4.5</v>
      </c>
      <c r="I84" s="26">
        <v>0.7</v>
      </c>
      <c r="J84" s="24">
        <v>98</v>
      </c>
      <c r="K84" s="24">
        <v>38</v>
      </c>
      <c r="L84" s="24">
        <v>1270</v>
      </c>
      <c r="M84" s="26">
        <f>L84/D84</f>
        <v>10.079365079365079</v>
      </c>
      <c r="N84" s="17"/>
    </row>
    <row r="85" spans="2:14" ht="15" customHeight="1">
      <c r="B85" s="15"/>
      <c r="C85" s="5"/>
      <c r="D85" s="5"/>
      <c r="E85" s="16"/>
      <c r="F85" s="16"/>
      <c r="G85" s="5"/>
      <c r="H85" s="17"/>
      <c r="I85" s="17"/>
      <c r="J85" s="5"/>
      <c r="K85" s="5"/>
      <c r="L85" s="17"/>
      <c r="M85" s="17"/>
    </row>
    <row r="86" spans="2:14" ht="15" customHeight="1">
      <c r="B86" s="30" t="s">
        <v>395</v>
      </c>
      <c r="N86" s="8"/>
    </row>
    <row r="87" spans="2:14" ht="15" customHeight="1">
      <c r="B87" s="19" t="s">
        <v>2</v>
      </c>
      <c r="C87" s="20" t="s">
        <v>3</v>
      </c>
      <c r="D87" s="21" t="s">
        <v>4</v>
      </c>
      <c r="E87" s="22" t="s">
        <v>5</v>
      </c>
      <c r="F87" s="22" t="s">
        <v>6</v>
      </c>
      <c r="G87" s="21" t="s">
        <v>7</v>
      </c>
      <c r="H87" s="23" t="s">
        <v>8</v>
      </c>
      <c r="I87" s="23" t="s">
        <v>9</v>
      </c>
      <c r="J87" s="21" t="s">
        <v>10</v>
      </c>
      <c r="K87" s="21" t="s">
        <v>11</v>
      </c>
      <c r="L87" s="21" t="s">
        <v>12</v>
      </c>
      <c r="M87" s="23" t="s">
        <v>13</v>
      </c>
      <c r="N87" s="12"/>
    </row>
    <row r="88" spans="2:14" ht="15" customHeight="1">
      <c r="B88" s="24" t="s">
        <v>357</v>
      </c>
      <c r="C88" s="18" t="s">
        <v>396</v>
      </c>
      <c r="D88" s="24">
        <v>10</v>
      </c>
      <c r="E88" s="25">
        <v>0.32500000000000001</v>
      </c>
      <c r="F88" s="25">
        <v>0</v>
      </c>
      <c r="G88" s="24">
        <v>3</v>
      </c>
      <c r="H88" s="26">
        <v>4.2</v>
      </c>
      <c r="I88" s="26">
        <v>1.2</v>
      </c>
      <c r="J88" s="24">
        <v>5</v>
      </c>
      <c r="K88" s="24">
        <v>2</v>
      </c>
      <c r="L88" s="24">
        <v>29</v>
      </c>
      <c r="M88" s="26">
        <f>L88/D88</f>
        <v>2.9</v>
      </c>
      <c r="N88" s="12"/>
    </row>
    <row r="89" spans="2:14" ht="15" customHeight="1">
      <c r="B89" s="27" t="s">
        <v>15</v>
      </c>
      <c r="C89" s="18" t="s">
        <v>359</v>
      </c>
      <c r="D89" s="24">
        <v>46</v>
      </c>
      <c r="E89" s="25">
        <v>0.34699999999999998</v>
      </c>
      <c r="F89" s="25">
        <v>0.5</v>
      </c>
      <c r="G89" s="24">
        <v>16</v>
      </c>
      <c r="H89" s="26">
        <v>3</v>
      </c>
      <c r="I89" s="26">
        <v>0.6</v>
      </c>
      <c r="J89" s="24">
        <v>13</v>
      </c>
      <c r="K89" s="24">
        <v>4</v>
      </c>
      <c r="L89" s="24">
        <v>110</v>
      </c>
      <c r="M89" s="26">
        <f>L89/D89</f>
        <v>2.3913043478260869</v>
      </c>
      <c r="N89" s="17"/>
    </row>
    <row r="90" spans="2:14" ht="15" customHeight="1">
      <c r="B90" s="15"/>
      <c r="C90" s="5"/>
      <c r="D90" s="5"/>
      <c r="E90" s="16"/>
      <c r="F90" s="16"/>
      <c r="G90" s="5"/>
      <c r="H90" s="17"/>
      <c r="I90" s="17"/>
      <c r="J90" s="5"/>
      <c r="K90" s="5"/>
      <c r="L90" s="17"/>
      <c r="M90" s="17"/>
    </row>
    <row r="91" spans="2:14" ht="15" customHeight="1">
      <c r="B91" s="15"/>
      <c r="C91" s="5"/>
      <c r="D91" s="5"/>
      <c r="E91" s="16"/>
      <c r="F91" s="16"/>
      <c r="G91" s="5"/>
      <c r="H91" s="17"/>
      <c r="I91" s="17"/>
      <c r="J91" s="5"/>
      <c r="K91" s="5"/>
      <c r="L91" s="17"/>
      <c r="M91" s="17"/>
    </row>
    <row r="92" spans="2:14" ht="15" customHeight="1">
      <c r="B92" s="30" t="s">
        <v>397</v>
      </c>
      <c r="N92" s="8"/>
    </row>
    <row r="93" spans="2:14" ht="15" customHeight="1">
      <c r="B93" s="19" t="s">
        <v>2</v>
      </c>
      <c r="C93" s="20" t="s">
        <v>3</v>
      </c>
      <c r="D93" s="21" t="s">
        <v>4</v>
      </c>
      <c r="E93" s="22" t="s">
        <v>5</v>
      </c>
      <c r="F93" s="22" t="s">
        <v>6</v>
      </c>
      <c r="G93" s="21" t="s">
        <v>7</v>
      </c>
      <c r="H93" s="23" t="s">
        <v>8</v>
      </c>
      <c r="I93" s="23" t="s">
        <v>9</v>
      </c>
      <c r="J93" s="21" t="s">
        <v>10</v>
      </c>
      <c r="K93" s="21" t="s">
        <v>11</v>
      </c>
      <c r="L93" s="21" t="s">
        <v>12</v>
      </c>
      <c r="M93" s="23" t="s">
        <v>13</v>
      </c>
      <c r="N93" s="12"/>
    </row>
    <row r="94" spans="2:14" ht="15" customHeight="1">
      <c r="B94" s="24" t="s">
        <v>372</v>
      </c>
      <c r="C94" s="18" t="s">
        <v>398</v>
      </c>
      <c r="D94" s="24">
        <v>33</v>
      </c>
      <c r="E94" s="25">
        <v>0.49</v>
      </c>
      <c r="F94" s="25">
        <v>0.61199999999999999</v>
      </c>
      <c r="G94" s="24">
        <v>0</v>
      </c>
      <c r="H94" s="26">
        <v>7.3</v>
      </c>
      <c r="I94" s="26">
        <v>0.7</v>
      </c>
      <c r="J94" s="24">
        <v>37</v>
      </c>
      <c r="K94" s="24">
        <v>91</v>
      </c>
      <c r="L94" s="24">
        <v>417</v>
      </c>
      <c r="M94" s="26">
        <f>L94/D94</f>
        <v>12.636363636363637</v>
      </c>
      <c r="N94" s="12"/>
    </row>
    <row r="95" spans="2:14" ht="15" customHeight="1">
      <c r="B95" s="27" t="s">
        <v>15</v>
      </c>
      <c r="C95" s="18" t="s">
        <v>363</v>
      </c>
      <c r="D95" s="24">
        <v>101</v>
      </c>
      <c r="E95" s="25">
        <v>0.49299999999999999</v>
      </c>
      <c r="F95" s="25">
        <v>0.54700000000000004</v>
      </c>
      <c r="G95" s="24">
        <v>0</v>
      </c>
      <c r="H95" s="26">
        <v>4.5999999999999996</v>
      </c>
      <c r="I95" s="26">
        <v>0.6</v>
      </c>
      <c r="J95" s="24">
        <v>55</v>
      </c>
      <c r="K95" s="24">
        <v>169</v>
      </c>
      <c r="L95" s="24">
        <v>758</v>
      </c>
      <c r="M95" s="26">
        <f>L95/D95</f>
        <v>7.5049504950495045</v>
      </c>
      <c r="N95" s="17"/>
    </row>
    <row r="97" spans="2:14" ht="15" customHeight="1">
      <c r="B97" s="15"/>
      <c r="C97" s="5"/>
      <c r="D97" s="5"/>
      <c r="E97" s="16"/>
      <c r="F97" s="16"/>
      <c r="G97" s="5"/>
      <c r="H97" s="17"/>
      <c r="I97" s="17"/>
      <c r="J97" s="5"/>
      <c r="K97" s="5"/>
      <c r="L97" s="17"/>
      <c r="M97" s="17"/>
    </row>
    <row r="98" spans="2:14" ht="15" customHeight="1">
      <c r="B98" s="30" t="s">
        <v>399</v>
      </c>
      <c r="N98" s="8"/>
    </row>
    <row r="99" spans="2:14" ht="15" customHeight="1">
      <c r="B99" s="19" t="s">
        <v>2</v>
      </c>
      <c r="C99" s="20" t="s">
        <v>3</v>
      </c>
      <c r="D99" s="21" t="s">
        <v>4</v>
      </c>
      <c r="E99" s="22" t="s">
        <v>5</v>
      </c>
      <c r="F99" s="22" t="s">
        <v>6</v>
      </c>
      <c r="G99" s="21" t="s">
        <v>7</v>
      </c>
      <c r="H99" s="23" t="s">
        <v>8</v>
      </c>
      <c r="I99" s="23" t="s">
        <v>9</v>
      </c>
      <c r="J99" s="21" t="s">
        <v>10</v>
      </c>
      <c r="K99" s="21" t="s">
        <v>11</v>
      </c>
      <c r="L99" s="21" t="s">
        <v>12</v>
      </c>
      <c r="M99" s="23" t="s">
        <v>13</v>
      </c>
      <c r="N99" s="12"/>
    </row>
    <row r="100" spans="2:14" ht="15" customHeight="1">
      <c r="B100" s="24" t="s">
        <v>400</v>
      </c>
      <c r="C100" s="18" t="s">
        <v>401</v>
      </c>
      <c r="D100" s="24">
        <v>35</v>
      </c>
      <c r="E100" s="25">
        <v>0.45500000000000002</v>
      </c>
      <c r="F100" s="25">
        <v>0.75</v>
      </c>
      <c r="G100" s="24">
        <v>64</v>
      </c>
      <c r="H100" s="26">
        <v>5.0999999999999996</v>
      </c>
      <c r="I100" s="26">
        <v>2.2999999999999998</v>
      </c>
      <c r="J100" s="24">
        <v>64</v>
      </c>
      <c r="K100" s="24">
        <v>17</v>
      </c>
      <c r="L100" s="24">
        <v>501</v>
      </c>
      <c r="M100" s="26">
        <f>L100/D100</f>
        <v>14.314285714285715</v>
      </c>
      <c r="N100" s="12"/>
    </row>
    <row r="101" spans="2:14" ht="15" customHeight="1">
      <c r="B101" s="27" t="s">
        <v>15</v>
      </c>
      <c r="C101" s="18" t="s">
        <v>363</v>
      </c>
      <c r="D101" s="24">
        <v>116</v>
      </c>
      <c r="E101" s="25">
        <v>0.435</v>
      </c>
      <c r="F101" s="25">
        <v>0.76800000000000002</v>
      </c>
      <c r="G101" s="24">
        <v>195</v>
      </c>
      <c r="H101" s="26">
        <v>4.3</v>
      </c>
      <c r="I101" s="26">
        <v>1.6</v>
      </c>
      <c r="J101" s="24">
        <v>149</v>
      </c>
      <c r="K101" s="24">
        <v>49</v>
      </c>
      <c r="L101" s="24">
        <v>1448</v>
      </c>
      <c r="M101" s="26">
        <f>L101/D101</f>
        <v>12.482758620689655</v>
      </c>
      <c r="N101" s="17"/>
    </row>
    <row r="102" spans="2:14" ht="15" customHeight="1">
      <c r="B102" s="15"/>
      <c r="C102" s="5"/>
      <c r="D102" s="5"/>
      <c r="E102" s="16"/>
      <c r="F102" s="16"/>
      <c r="G102" s="5"/>
      <c r="H102" s="17"/>
      <c r="I102" s="17"/>
      <c r="J102" s="5"/>
      <c r="K102" s="5"/>
      <c r="L102" s="17"/>
      <c r="M102" s="17"/>
    </row>
    <row r="103" spans="2:14" ht="15" customHeight="1">
      <c r="B103" s="30" t="s">
        <v>402</v>
      </c>
      <c r="N103" s="8"/>
    </row>
    <row r="104" spans="2:14" ht="15" customHeight="1">
      <c r="B104" s="19" t="s">
        <v>2</v>
      </c>
      <c r="C104" s="20" t="s">
        <v>3</v>
      </c>
      <c r="D104" s="21" t="s">
        <v>4</v>
      </c>
      <c r="E104" s="22" t="s">
        <v>5</v>
      </c>
      <c r="F104" s="22" t="s">
        <v>6</v>
      </c>
      <c r="G104" s="21" t="s">
        <v>7</v>
      </c>
      <c r="H104" s="23" t="s">
        <v>8</v>
      </c>
      <c r="I104" s="23" t="s">
        <v>9</v>
      </c>
      <c r="J104" s="21" t="s">
        <v>10</v>
      </c>
      <c r="K104" s="21" t="s">
        <v>11</v>
      </c>
      <c r="L104" s="21" t="s">
        <v>12</v>
      </c>
      <c r="M104" s="23" t="s">
        <v>13</v>
      </c>
      <c r="N104" s="12"/>
    </row>
    <row r="105" spans="2:14" ht="15" customHeight="1">
      <c r="B105" s="24" t="s">
        <v>400</v>
      </c>
      <c r="C105" s="18" t="s">
        <v>403</v>
      </c>
      <c r="D105" s="24">
        <v>36</v>
      </c>
      <c r="E105" s="25">
        <v>0.43</v>
      </c>
      <c r="F105" s="25">
        <v>0.85899999999999999</v>
      </c>
      <c r="G105" s="24">
        <v>116</v>
      </c>
      <c r="H105" s="26">
        <v>2.8</v>
      </c>
      <c r="I105" s="26">
        <v>2.2999999999999998</v>
      </c>
      <c r="J105" s="24">
        <v>50</v>
      </c>
      <c r="K105" s="24">
        <v>10</v>
      </c>
      <c r="L105" s="24">
        <v>619</v>
      </c>
      <c r="M105" s="26">
        <f>L105/D105</f>
        <v>17.194444444444443</v>
      </c>
      <c r="N105" s="12"/>
    </row>
    <row r="106" spans="2:14" ht="15" customHeight="1">
      <c r="B106" s="27" t="s">
        <v>15</v>
      </c>
      <c r="C106" s="18" t="s">
        <v>374</v>
      </c>
      <c r="D106" s="24">
        <v>158</v>
      </c>
      <c r="E106" s="25">
        <v>0.434</v>
      </c>
      <c r="F106" s="25">
        <v>0.88300000000000001</v>
      </c>
      <c r="G106" s="24">
        <v>454</v>
      </c>
      <c r="H106" s="26">
        <v>3</v>
      </c>
      <c r="I106" s="26">
        <v>2.4</v>
      </c>
      <c r="J106" s="24">
        <v>165</v>
      </c>
      <c r="K106" s="24">
        <v>33</v>
      </c>
      <c r="L106" s="24">
        <v>2253</v>
      </c>
      <c r="M106" s="26">
        <f>L106/D106</f>
        <v>14.259493670886076</v>
      </c>
      <c r="N106" s="17"/>
    </row>
    <row r="107" spans="2:14" ht="15" customHeight="1">
      <c r="B107" s="15"/>
      <c r="C107" s="5"/>
      <c r="D107" s="5"/>
      <c r="E107" s="16"/>
      <c r="F107" s="16"/>
      <c r="G107" s="5"/>
      <c r="H107" s="17"/>
      <c r="I107" s="17"/>
      <c r="J107" s="5"/>
      <c r="K107" s="5"/>
      <c r="L107" s="17"/>
      <c r="M107" s="17"/>
    </row>
    <row r="108" spans="2:14" ht="15" customHeight="1">
      <c r="B108" s="30" t="s">
        <v>404</v>
      </c>
      <c r="N108" s="8"/>
    </row>
    <row r="109" spans="2:14" ht="15" customHeight="1">
      <c r="B109" s="19" t="s">
        <v>2</v>
      </c>
      <c r="C109" s="20" t="s">
        <v>3</v>
      </c>
      <c r="D109" s="21" t="s">
        <v>4</v>
      </c>
      <c r="E109" s="22" t="s">
        <v>5</v>
      </c>
      <c r="F109" s="22" t="s">
        <v>6</v>
      </c>
      <c r="G109" s="21" t="s">
        <v>7</v>
      </c>
      <c r="H109" s="23" t="s">
        <v>8</v>
      </c>
      <c r="I109" s="23" t="s">
        <v>9</v>
      </c>
      <c r="J109" s="21" t="s">
        <v>10</v>
      </c>
      <c r="K109" s="21" t="s">
        <v>11</v>
      </c>
      <c r="L109" s="21" t="s">
        <v>12</v>
      </c>
      <c r="M109" s="23" t="s">
        <v>13</v>
      </c>
      <c r="N109" s="12"/>
    </row>
    <row r="110" spans="2:14" ht="15" customHeight="1">
      <c r="B110" s="24" t="s">
        <v>400</v>
      </c>
      <c r="C110" s="18" t="s">
        <v>405</v>
      </c>
      <c r="D110" s="24">
        <v>30</v>
      </c>
      <c r="E110" s="25">
        <v>0.51300000000000001</v>
      </c>
      <c r="F110" s="25">
        <v>0.77</v>
      </c>
      <c r="G110" s="24">
        <v>20</v>
      </c>
      <c r="H110" s="26">
        <v>5.0999999999999996</v>
      </c>
      <c r="I110" s="26">
        <v>5.8</v>
      </c>
      <c r="J110" s="24">
        <v>38</v>
      </c>
      <c r="K110" s="24">
        <v>11</v>
      </c>
      <c r="L110" s="24">
        <v>525</v>
      </c>
      <c r="M110" s="26">
        <f>L110/D110</f>
        <v>17.5</v>
      </c>
      <c r="N110" s="12"/>
    </row>
    <row r="111" spans="2:14" ht="15" customHeight="1">
      <c r="B111" s="27" t="s">
        <v>15</v>
      </c>
      <c r="C111" s="18" t="s">
        <v>374</v>
      </c>
      <c r="D111" s="24">
        <v>132</v>
      </c>
      <c r="E111" s="25">
        <v>0.46800000000000003</v>
      </c>
      <c r="F111" s="25">
        <v>0.76900000000000002</v>
      </c>
      <c r="G111" s="24">
        <v>119</v>
      </c>
      <c r="H111" s="26">
        <v>3.7</v>
      </c>
      <c r="I111" s="26">
        <v>3.2</v>
      </c>
      <c r="J111" s="24">
        <v>133</v>
      </c>
      <c r="K111" s="24">
        <v>34</v>
      </c>
      <c r="L111" s="24">
        <v>1910</v>
      </c>
      <c r="M111" s="26">
        <f>L111/D111</f>
        <v>14.469696969696969</v>
      </c>
      <c r="N111" s="17"/>
    </row>
    <row r="112" spans="2:14" ht="15" customHeight="1">
      <c r="B112" s="15"/>
      <c r="C112" s="5"/>
      <c r="D112" s="5"/>
      <c r="E112" s="16"/>
      <c r="F112" s="16"/>
      <c r="G112" s="5"/>
      <c r="H112" s="17"/>
      <c r="I112" s="17"/>
      <c r="J112" s="5"/>
      <c r="K112" s="5"/>
      <c r="L112" s="17"/>
      <c r="M112" s="17"/>
    </row>
    <row r="113" spans="2:14" ht="15" customHeight="1">
      <c r="B113" s="30" t="s">
        <v>406</v>
      </c>
      <c r="N113" s="8"/>
    </row>
    <row r="114" spans="2:14" ht="15" customHeight="1">
      <c r="B114" s="19" t="s">
        <v>2</v>
      </c>
      <c r="C114" s="20" t="s">
        <v>3</v>
      </c>
      <c r="D114" s="21" t="s">
        <v>4</v>
      </c>
      <c r="E114" s="22" t="s">
        <v>5</v>
      </c>
      <c r="F114" s="22" t="s">
        <v>6</v>
      </c>
      <c r="G114" s="21" t="s">
        <v>7</v>
      </c>
      <c r="H114" s="23" t="s">
        <v>8</v>
      </c>
      <c r="I114" s="23" t="s">
        <v>9</v>
      </c>
      <c r="J114" s="21" t="s">
        <v>10</v>
      </c>
      <c r="K114" s="21" t="s">
        <v>11</v>
      </c>
      <c r="L114" s="21" t="s">
        <v>12</v>
      </c>
      <c r="M114" s="23" t="s">
        <v>13</v>
      </c>
      <c r="N114" s="12"/>
    </row>
    <row r="115" spans="2:14" ht="15" customHeight="1">
      <c r="B115" s="24" t="s">
        <v>400</v>
      </c>
      <c r="C115" s="18" t="s">
        <v>376</v>
      </c>
      <c r="D115" s="24">
        <v>34</v>
      </c>
      <c r="E115" s="25">
        <v>0.55400000000000005</v>
      </c>
      <c r="F115" s="25">
        <v>0.50800000000000001</v>
      </c>
      <c r="G115" s="24">
        <v>0</v>
      </c>
      <c r="H115" s="26">
        <v>6</v>
      </c>
      <c r="I115" s="26">
        <v>1</v>
      </c>
      <c r="J115" s="24">
        <v>40</v>
      </c>
      <c r="K115" s="24">
        <v>28</v>
      </c>
      <c r="L115" s="24">
        <v>338</v>
      </c>
      <c r="M115" s="26">
        <f>L115/D115</f>
        <v>9.9411764705882355</v>
      </c>
      <c r="N115" s="12"/>
    </row>
    <row r="116" spans="2:14" ht="15" customHeight="1">
      <c r="B116" s="27" t="s">
        <v>15</v>
      </c>
      <c r="C116" s="18" t="s">
        <v>374</v>
      </c>
      <c r="D116" s="24">
        <v>129</v>
      </c>
      <c r="E116" s="25">
        <v>0.54200000000000004</v>
      </c>
      <c r="F116" s="25">
        <v>0.60599999999999998</v>
      </c>
      <c r="G116" s="24">
        <v>2</v>
      </c>
      <c r="H116" s="26">
        <v>3.8</v>
      </c>
      <c r="I116" s="26">
        <v>0.5</v>
      </c>
      <c r="J116" s="24">
        <v>65</v>
      </c>
      <c r="K116" s="24">
        <v>84</v>
      </c>
      <c r="L116" s="24">
        <v>910</v>
      </c>
      <c r="M116" s="26">
        <f>L116/D116</f>
        <v>7.054263565891473</v>
      </c>
      <c r="N116" s="17"/>
    </row>
    <row r="117" spans="2:14" ht="15" customHeight="1">
      <c r="B117" s="15"/>
      <c r="C117" s="5"/>
      <c r="D117" s="5"/>
      <c r="E117" s="16"/>
      <c r="F117" s="16"/>
      <c r="G117" s="5"/>
      <c r="H117" s="17"/>
      <c r="I117" s="17"/>
      <c r="J117" s="5"/>
      <c r="K117" s="5"/>
      <c r="L117" s="17"/>
      <c r="M117" s="17"/>
    </row>
    <row r="118" spans="2:14" ht="15" customHeight="1">
      <c r="B118" s="30" t="s">
        <v>407</v>
      </c>
      <c r="N118" s="8"/>
    </row>
    <row r="119" spans="2:14" ht="15" customHeight="1">
      <c r="B119" s="19" t="s">
        <v>2</v>
      </c>
      <c r="C119" s="20" t="s">
        <v>3</v>
      </c>
      <c r="D119" s="21" t="s">
        <v>4</v>
      </c>
      <c r="E119" s="22" t="s">
        <v>5</v>
      </c>
      <c r="F119" s="22" t="s">
        <v>6</v>
      </c>
      <c r="G119" s="21" t="s">
        <v>7</v>
      </c>
      <c r="H119" s="23" t="s">
        <v>8</v>
      </c>
      <c r="I119" s="23" t="s">
        <v>9</v>
      </c>
      <c r="J119" s="21" t="s">
        <v>10</v>
      </c>
      <c r="K119" s="21" t="s">
        <v>11</v>
      </c>
      <c r="L119" s="21" t="s">
        <v>12</v>
      </c>
      <c r="M119" s="23" t="s">
        <v>13</v>
      </c>
      <c r="N119" s="12"/>
    </row>
    <row r="120" spans="2:14" ht="15" customHeight="1">
      <c r="B120" s="24" t="s">
        <v>400</v>
      </c>
      <c r="C120" s="18" t="s">
        <v>408</v>
      </c>
      <c r="D120" s="24">
        <v>33</v>
      </c>
      <c r="E120" s="25">
        <v>0.51400000000000001</v>
      </c>
      <c r="F120" s="25">
        <v>0.76500000000000001</v>
      </c>
      <c r="G120" s="24">
        <v>25</v>
      </c>
      <c r="H120" s="26">
        <v>5.4</v>
      </c>
      <c r="I120" s="26">
        <v>2.8</v>
      </c>
      <c r="J120" s="24">
        <v>47</v>
      </c>
      <c r="K120" s="24">
        <v>22</v>
      </c>
      <c r="L120" s="24">
        <v>518</v>
      </c>
      <c r="M120" s="26">
        <f>L120/D120</f>
        <v>15.696969696969697</v>
      </c>
      <c r="N120" s="12"/>
    </row>
    <row r="121" spans="2:14" ht="15" customHeight="1">
      <c r="B121" s="27" t="s">
        <v>15</v>
      </c>
      <c r="C121" s="18" t="s">
        <v>374</v>
      </c>
      <c r="D121" s="24">
        <v>147</v>
      </c>
      <c r="E121" s="25">
        <v>0.47399999999999998</v>
      </c>
      <c r="F121" s="25">
        <v>0.69699999999999995</v>
      </c>
      <c r="G121" s="24">
        <v>96</v>
      </c>
      <c r="H121" s="26">
        <v>6.8</v>
      </c>
      <c r="I121" s="26">
        <v>2.4</v>
      </c>
      <c r="J121" s="24">
        <v>215</v>
      </c>
      <c r="K121" s="24">
        <v>67</v>
      </c>
      <c r="L121" s="24">
        <v>2365</v>
      </c>
      <c r="M121" s="26">
        <f>L121/D121</f>
        <v>16.088435374149661</v>
      </c>
      <c r="N121" s="17"/>
    </row>
    <row r="122" spans="2:14" ht="15" customHeight="1">
      <c r="B122" s="15"/>
      <c r="C122" s="5"/>
      <c r="D122" s="5"/>
      <c r="E122" s="16"/>
      <c r="F122" s="16"/>
      <c r="G122" s="5"/>
      <c r="H122" s="17"/>
      <c r="I122" s="17"/>
      <c r="J122" s="5"/>
      <c r="K122" s="5"/>
      <c r="L122" s="17"/>
      <c r="M122" s="17"/>
    </row>
    <row r="123" spans="2:14" ht="15" customHeight="1">
      <c r="B123" s="30" t="s">
        <v>409</v>
      </c>
      <c r="N123" s="8"/>
    </row>
    <row r="124" spans="2:14" ht="15" customHeight="1">
      <c r="B124" s="19" t="s">
        <v>2</v>
      </c>
      <c r="C124" s="20" t="s">
        <v>3</v>
      </c>
      <c r="D124" s="21" t="s">
        <v>4</v>
      </c>
      <c r="E124" s="22" t="s">
        <v>5</v>
      </c>
      <c r="F124" s="22" t="s">
        <v>6</v>
      </c>
      <c r="G124" s="21" t="s">
        <v>7</v>
      </c>
      <c r="H124" s="23" t="s">
        <v>8</v>
      </c>
      <c r="I124" s="23" t="s">
        <v>9</v>
      </c>
      <c r="J124" s="21" t="s">
        <v>10</v>
      </c>
      <c r="K124" s="21" t="s">
        <v>11</v>
      </c>
      <c r="L124" s="21" t="s">
        <v>12</v>
      </c>
      <c r="M124" s="23" t="s">
        <v>13</v>
      </c>
      <c r="N124" s="12"/>
    </row>
    <row r="125" spans="2:14" ht="15" customHeight="1">
      <c r="B125" s="24" t="s">
        <v>400</v>
      </c>
      <c r="C125" s="18" t="s">
        <v>410</v>
      </c>
      <c r="D125" s="24">
        <v>32</v>
      </c>
      <c r="E125" s="25">
        <v>0.41099999999999998</v>
      </c>
      <c r="F125" s="25">
        <v>0.83599999999999997</v>
      </c>
      <c r="G125" s="24">
        <v>88</v>
      </c>
      <c r="H125" s="26">
        <v>9.6999999999999993</v>
      </c>
      <c r="I125" s="26">
        <v>2</v>
      </c>
      <c r="J125" s="24">
        <v>35</v>
      </c>
      <c r="K125" s="24">
        <v>10</v>
      </c>
      <c r="L125" s="24">
        <v>691</v>
      </c>
      <c r="M125" s="26">
        <f>L125/D125</f>
        <v>21.59375</v>
      </c>
      <c r="N125" s="12"/>
    </row>
    <row r="126" spans="2:14" ht="15" customHeight="1">
      <c r="B126" s="27" t="s">
        <v>15</v>
      </c>
      <c r="C126" s="18" t="s">
        <v>374</v>
      </c>
      <c r="D126" s="24">
        <v>158</v>
      </c>
      <c r="E126" s="25">
        <v>0.42499999999999999</v>
      </c>
      <c r="F126" s="25">
        <v>0.83099999999999996</v>
      </c>
      <c r="G126" s="24">
        <v>344</v>
      </c>
      <c r="H126" s="26">
        <v>8.8000000000000007</v>
      </c>
      <c r="I126" s="26">
        <v>1.6</v>
      </c>
      <c r="J126" s="24">
        <v>163</v>
      </c>
      <c r="K126" s="24">
        <v>56</v>
      </c>
      <c r="L126" s="24">
        <v>3060</v>
      </c>
      <c r="M126" s="26">
        <f>L126/D126</f>
        <v>19.367088607594937</v>
      </c>
      <c r="N126" s="17"/>
    </row>
    <row r="127" spans="2:14" ht="15" customHeight="1">
      <c r="B127" s="15"/>
      <c r="C127" s="5"/>
      <c r="D127" s="5"/>
      <c r="E127" s="16"/>
      <c r="F127" s="16"/>
      <c r="G127" s="5"/>
      <c r="H127" s="17"/>
      <c r="I127" s="17"/>
      <c r="J127" s="5"/>
      <c r="K127" s="5"/>
      <c r="L127" s="17"/>
      <c r="M127" s="17"/>
    </row>
    <row r="128" spans="2:14" ht="15" customHeight="1">
      <c r="B128" s="30" t="s">
        <v>411</v>
      </c>
      <c r="N128" s="8"/>
    </row>
    <row r="129" spans="2:14" ht="15" customHeight="1">
      <c r="B129" s="19" t="s">
        <v>2</v>
      </c>
      <c r="C129" s="20" t="s">
        <v>3</v>
      </c>
      <c r="D129" s="21" t="s">
        <v>4</v>
      </c>
      <c r="E129" s="22" t="s">
        <v>5</v>
      </c>
      <c r="F129" s="22" t="s">
        <v>6</v>
      </c>
      <c r="G129" s="21" t="s">
        <v>7</v>
      </c>
      <c r="H129" s="23" t="s">
        <v>8</v>
      </c>
      <c r="I129" s="23" t="s">
        <v>9</v>
      </c>
      <c r="J129" s="21" t="s">
        <v>10</v>
      </c>
      <c r="K129" s="21" t="s">
        <v>11</v>
      </c>
      <c r="L129" s="21" t="s">
        <v>12</v>
      </c>
      <c r="M129" s="23" t="s">
        <v>13</v>
      </c>
      <c r="N129" s="12"/>
    </row>
    <row r="130" spans="2:14" ht="15" customHeight="1">
      <c r="B130" s="24" t="s">
        <v>400</v>
      </c>
      <c r="C130" s="18" t="s">
        <v>365</v>
      </c>
      <c r="D130" s="24">
        <v>33</v>
      </c>
      <c r="E130" s="25">
        <v>0.45200000000000001</v>
      </c>
      <c r="F130" s="25">
        <v>0.79400000000000004</v>
      </c>
      <c r="G130" s="24">
        <v>49</v>
      </c>
      <c r="H130" s="26">
        <v>3.8</v>
      </c>
      <c r="I130" s="26">
        <v>3.1</v>
      </c>
      <c r="J130" s="24">
        <v>33</v>
      </c>
      <c r="K130" s="24">
        <v>14</v>
      </c>
      <c r="L130" s="24">
        <v>591</v>
      </c>
      <c r="M130" s="26">
        <f>L130/D130</f>
        <v>17.90909090909091</v>
      </c>
      <c r="N130" s="12"/>
    </row>
    <row r="131" spans="2:14" ht="15" customHeight="1">
      <c r="B131" s="27" t="s">
        <v>15</v>
      </c>
      <c r="C131" s="18" t="s">
        <v>363</v>
      </c>
      <c r="D131" s="24">
        <v>112</v>
      </c>
      <c r="E131" s="25">
        <v>0.40600000000000003</v>
      </c>
      <c r="F131" s="25">
        <v>0.83399999999999996</v>
      </c>
      <c r="G131" s="24">
        <v>152</v>
      </c>
      <c r="H131" s="26">
        <v>3</v>
      </c>
      <c r="I131" s="26">
        <v>2.2999999999999998</v>
      </c>
      <c r="J131" s="24">
        <v>82</v>
      </c>
      <c r="K131" s="24">
        <v>29</v>
      </c>
      <c r="L131" s="24">
        <v>1653</v>
      </c>
      <c r="M131" s="26">
        <f>L131/D131</f>
        <v>14.758928571428571</v>
      </c>
      <c r="N131" s="17"/>
    </row>
    <row r="132" spans="2:14" ht="15" customHeight="1">
      <c r="B132" s="15"/>
      <c r="C132" s="5"/>
      <c r="D132" s="5"/>
      <c r="E132" s="16"/>
      <c r="F132" s="16"/>
      <c r="G132" s="5"/>
      <c r="H132" s="17"/>
      <c r="I132" s="17"/>
      <c r="J132" s="5"/>
      <c r="K132" s="5"/>
      <c r="L132" s="17"/>
      <c r="M132" s="17"/>
    </row>
    <row r="133" spans="2:14" ht="15" customHeight="1">
      <c r="B133" s="30" t="s">
        <v>412</v>
      </c>
      <c r="N133" s="8"/>
    </row>
    <row r="134" spans="2:14" ht="15" customHeight="1">
      <c r="B134" s="19" t="s">
        <v>2</v>
      </c>
      <c r="C134" s="20" t="s">
        <v>3</v>
      </c>
      <c r="D134" s="21" t="s">
        <v>4</v>
      </c>
      <c r="E134" s="22" t="s">
        <v>5</v>
      </c>
      <c r="F134" s="22" t="s">
        <v>6</v>
      </c>
      <c r="G134" s="21" t="s">
        <v>7</v>
      </c>
      <c r="H134" s="23" t="s">
        <v>8</v>
      </c>
      <c r="I134" s="23" t="s">
        <v>9</v>
      </c>
      <c r="J134" s="21" t="s">
        <v>10</v>
      </c>
      <c r="K134" s="21" t="s">
        <v>11</v>
      </c>
      <c r="L134" s="21" t="s">
        <v>12</v>
      </c>
      <c r="M134" s="23" t="s">
        <v>13</v>
      </c>
      <c r="N134" s="12"/>
    </row>
    <row r="135" spans="2:14" ht="15" customHeight="1">
      <c r="B135" s="24" t="s">
        <v>400</v>
      </c>
      <c r="C135" s="18" t="s">
        <v>365</v>
      </c>
      <c r="D135" s="24">
        <v>34</v>
      </c>
      <c r="E135" s="25">
        <v>0.58599999999999997</v>
      </c>
      <c r="F135" s="25">
        <v>0.72</v>
      </c>
      <c r="G135" s="24">
        <v>0</v>
      </c>
      <c r="H135" s="26">
        <v>12.3</v>
      </c>
      <c r="I135" s="26">
        <v>1.3</v>
      </c>
      <c r="J135" s="24">
        <v>34</v>
      </c>
      <c r="K135" s="24">
        <v>38</v>
      </c>
      <c r="L135" s="24">
        <v>560</v>
      </c>
      <c r="M135" s="26">
        <f>L135/D135</f>
        <v>16.470588235294116</v>
      </c>
      <c r="N135" s="12"/>
    </row>
    <row r="136" spans="2:14" ht="15" customHeight="1">
      <c r="B136" s="27" t="s">
        <v>15</v>
      </c>
      <c r="C136" s="18" t="s">
        <v>363</v>
      </c>
      <c r="D136" s="24">
        <v>117</v>
      </c>
      <c r="E136" s="25">
        <v>0.51100000000000001</v>
      </c>
      <c r="F136" s="25">
        <v>0.67600000000000005</v>
      </c>
      <c r="G136" s="24">
        <v>0</v>
      </c>
      <c r="H136" s="26">
        <v>9.6</v>
      </c>
      <c r="I136" s="26">
        <v>0.8</v>
      </c>
      <c r="J136" s="24">
        <v>123</v>
      </c>
      <c r="K136" s="24">
        <v>121</v>
      </c>
      <c r="L136" s="24">
        <v>1546</v>
      </c>
      <c r="M136" s="26">
        <f>L136/D136</f>
        <v>13.213675213675213</v>
      </c>
      <c r="N136" s="17"/>
    </row>
    <row r="137" spans="2:14" ht="15" customHeight="1">
      <c r="B137" s="15"/>
      <c r="C137" s="5"/>
      <c r="D137" s="5"/>
      <c r="E137" s="16"/>
      <c r="F137" s="16"/>
      <c r="G137" s="5"/>
      <c r="H137" s="17"/>
      <c r="I137" s="17"/>
      <c r="J137" s="5"/>
      <c r="K137" s="5"/>
      <c r="L137" s="17"/>
      <c r="M137" s="17"/>
    </row>
    <row r="138" spans="2:14" ht="15" customHeight="1">
      <c r="B138" s="30" t="s">
        <v>413</v>
      </c>
      <c r="N138" s="8"/>
    </row>
    <row r="139" spans="2:14" ht="15" customHeight="1">
      <c r="B139" s="19" t="s">
        <v>2</v>
      </c>
      <c r="C139" s="20" t="s">
        <v>3</v>
      </c>
      <c r="D139" s="21" t="s">
        <v>4</v>
      </c>
      <c r="E139" s="22" t="s">
        <v>5</v>
      </c>
      <c r="F139" s="22" t="s">
        <v>6</v>
      </c>
      <c r="G139" s="21" t="s">
        <v>7</v>
      </c>
      <c r="H139" s="23" t="s">
        <v>8</v>
      </c>
      <c r="I139" s="23" t="s">
        <v>9</v>
      </c>
      <c r="J139" s="21" t="s">
        <v>10</v>
      </c>
      <c r="K139" s="21" t="s">
        <v>11</v>
      </c>
      <c r="L139" s="21" t="s">
        <v>12</v>
      </c>
      <c r="M139" s="23" t="s">
        <v>13</v>
      </c>
      <c r="N139" s="12"/>
    </row>
    <row r="140" spans="2:14" ht="15" customHeight="1">
      <c r="B140" s="24" t="s">
        <v>400</v>
      </c>
      <c r="C140" s="18" t="s">
        <v>376</v>
      </c>
      <c r="D140" s="24">
        <v>36</v>
      </c>
      <c r="E140" s="25">
        <v>0.433</v>
      </c>
      <c r="F140" s="25">
        <v>0.78200000000000003</v>
      </c>
      <c r="G140" s="24">
        <v>49</v>
      </c>
      <c r="H140" s="26">
        <v>2.9</v>
      </c>
      <c r="I140" s="26">
        <v>4.0999999999999996</v>
      </c>
      <c r="J140" s="24">
        <v>66</v>
      </c>
      <c r="K140" s="24">
        <v>6</v>
      </c>
      <c r="L140" s="24">
        <v>554</v>
      </c>
      <c r="M140" s="26">
        <f>L140/D140</f>
        <v>15.388888888888889</v>
      </c>
      <c r="N140" s="12"/>
    </row>
    <row r="141" spans="2:14" ht="15" customHeight="1">
      <c r="B141" s="27" t="s">
        <v>15</v>
      </c>
      <c r="C141" s="18" t="s">
        <v>374</v>
      </c>
      <c r="D141" s="24">
        <v>125</v>
      </c>
      <c r="E141" s="25">
        <v>0.443</v>
      </c>
      <c r="F141" s="25">
        <v>0.80300000000000005</v>
      </c>
      <c r="G141" s="24">
        <v>116</v>
      </c>
      <c r="H141" s="26">
        <v>2.8</v>
      </c>
      <c r="I141" s="26">
        <v>3</v>
      </c>
      <c r="J141" s="24">
        <v>157</v>
      </c>
      <c r="K141" s="24">
        <v>13</v>
      </c>
      <c r="L141" s="24">
        <v>1421</v>
      </c>
      <c r="M141" s="26">
        <f>L141/D141</f>
        <v>11.368</v>
      </c>
      <c r="N141" s="17"/>
    </row>
    <row r="142" spans="2:14" ht="15" customHeight="1">
      <c r="B142" s="15"/>
      <c r="C142" s="5"/>
      <c r="D142" s="5"/>
      <c r="E142" s="16"/>
      <c r="F142" s="16"/>
      <c r="G142" s="5"/>
      <c r="H142" s="17"/>
      <c r="I142" s="17"/>
      <c r="J142" s="5"/>
      <c r="K142" s="5"/>
      <c r="L142" s="17"/>
      <c r="M142" s="17"/>
    </row>
    <row r="143" spans="2:14" ht="15" customHeight="1">
      <c r="B143" s="30" t="s">
        <v>414</v>
      </c>
      <c r="N143" s="8"/>
    </row>
    <row r="144" spans="2:14" ht="15" customHeight="1">
      <c r="B144" s="19" t="s">
        <v>2</v>
      </c>
      <c r="C144" s="20" t="s">
        <v>3</v>
      </c>
      <c r="D144" s="21" t="s">
        <v>4</v>
      </c>
      <c r="E144" s="22" t="s">
        <v>5</v>
      </c>
      <c r="F144" s="22" t="s">
        <v>6</v>
      </c>
      <c r="G144" s="21" t="s">
        <v>7</v>
      </c>
      <c r="H144" s="23" t="s">
        <v>8</v>
      </c>
      <c r="I144" s="23" t="s">
        <v>9</v>
      </c>
      <c r="J144" s="21" t="s">
        <v>10</v>
      </c>
      <c r="K144" s="21" t="s">
        <v>11</v>
      </c>
      <c r="L144" s="21" t="s">
        <v>12</v>
      </c>
      <c r="M144" s="23" t="s">
        <v>13</v>
      </c>
      <c r="N144" s="12"/>
    </row>
    <row r="145" spans="2:14" ht="15" customHeight="1">
      <c r="B145" s="24" t="s">
        <v>400</v>
      </c>
      <c r="C145" s="18" t="s">
        <v>383</v>
      </c>
      <c r="D145" s="24">
        <v>35</v>
      </c>
      <c r="E145" s="25">
        <v>0.436</v>
      </c>
      <c r="F145" s="25">
        <v>0.79600000000000004</v>
      </c>
      <c r="G145" s="24">
        <v>38</v>
      </c>
      <c r="H145" s="26">
        <v>3.4</v>
      </c>
      <c r="I145" s="26">
        <v>2.9</v>
      </c>
      <c r="J145" s="24">
        <v>36</v>
      </c>
      <c r="K145" s="24">
        <v>6</v>
      </c>
      <c r="L145" s="24">
        <v>384</v>
      </c>
      <c r="M145" s="26">
        <f>L145/D145</f>
        <v>10.971428571428572</v>
      </c>
      <c r="N145" s="12"/>
    </row>
    <row r="146" spans="2:14" ht="15" customHeight="1">
      <c r="B146" s="27" t="s">
        <v>15</v>
      </c>
      <c r="C146" s="18" t="s">
        <v>374</v>
      </c>
      <c r="D146" s="24">
        <v>156</v>
      </c>
      <c r="E146" s="25">
        <v>0.41</v>
      </c>
      <c r="F146" s="25">
        <v>0.77800000000000002</v>
      </c>
      <c r="G146" s="24">
        <v>131</v>
      </c>
      <c r="H146" s="26">
        <v>2.5</v>
      </c>
      <c r="I146" s="26">
        <v>3</v>
      </c>
      <c r="J146" s="24">
        <v>134</v>
      </c>
      <c r="K146" s="24">
        <v>20</v>
      </c>
      <c r="L146" s="24">
        <v>1499</v>
      </c>
      <c r="M146" s="26">
        <f>L146/D146</f>
        <v>9.6089743589743595</v>
      </c>
      <c r="N146" s="17"/>
    </row>
    <row r="147" spans="2:14" ht="15" customHeight="1">
      <c r="B147" s="15"/>
      <c r="C147" s="5"/>
      <c r="D147" s="5"/>
      <c r="E147" s="16"/>
      <c r="F147" s="16"/>
      <c r="G147" s="5"/>
      <c r="H147" s="17"/>
      <c r="I147" s="17"/>
      <c r="J147" s="5"/>
      <c r="K147" s="5"/>
      <c r="L147" s="17"/>
      <c r="M147" s="17"/>
    </row>
    <row r="148" spans="2:14" ht="15" customHeight="1">
      <c r="B148" s="30" t="s">
        <v>415</v>
      </c>
      <c r="N148" s="8"/>
    </row>
    <row r="149" spans="2:14" ht="15" customHeight="1">
      <c r="B149" s="19" t="s">
        <v>2</v>
      </c>
      <c r="C149" s="20" t="s">
        <v>3</v>
      </c>
      <c r="D149" s="21" t="s">
        <v>4</v>
      </c>
      <c r="E149" s="22" t="s">
        <v>5</v>
      </c>
      <c r="F149" s="22" t="s">
        <v>6</v>
      </c>
      <c r="G149" s="21" t="s">
        <v>7</v>
      </c>
      <c r="H149" s="23" t="s">
        <v>8</v>
      </c>
      <c r="I149" s="23" t="s">
        <v>9</v>
      </c>
      <c r="J149" s="21" t="s">
        <v>10</v>
      </c>
      <c r="K149" s="21" t="s">
        <v>11</v>
      </c>
      <c r="L149" s="21" t="s">
        <v>12</v>
      </c>
      <c r="M149" s="23" t="s">
        <v>13</v>
      </c>
      <c r="N149" s="12"/>
    </row>
    <row r="150" spans="2:14" ht="15" customHeight="1">
      <c r="B150" s="24" t="s">
        <v>400</v>
      </c>
      <c r="C150" s="18" t="s">
        <v>362</v>
      </c>
      <c r="D150" s="24">
        <v>37</v>
      </c>
      <c r="E150" s="25">
        <f>SUM(85/204)</f>
        <v>0.41666666666666669</v>
      </c>
      <c r="F150" s="25">
        <f>SUM(30/52)</f>
        <v>0.57692307692307687</v>
      </c>
      <c r="G150" s="24">
        <v>38</v>
      </c>
      <c r="H150" s="26">
        <v>4.3</v>
      </c>
      <c r="I150" s="26">
        <f>SUM(100/37)</f>
        <v>2.7027027027027026</v>
      </c>
      <c r="J150" s="24">
        <v>25</v>
      </c>
      <c r="K150" s="24">
        <v>39</v>
      </c>
      <c r="L150" s="24">
        <v>238</v>
      </c>
      <c r="M150" s="26">
        <f>L150/D150</f>
        <v>6.4324324324324325</v>
      </c>
      <c r="N150" s="12"/>
    </row>
    <row r="151" spans="2:14" ht="15" customHeight="1">
      <c r="B151" s="27" t="s">
        <v>15</v>
      </c>
      <c r="C151" s="18" t="s">
        <v>363</v>
      </c>
      <c r="D151" s="24">
        <v>138</v>
      </c>
      <c r="E151" s="25">
        <f>SUM(316/770)</f>
        <v>0.41038961038961042</v>
      </c>
      <c r="F151" s="25">
        <f>SUM(133/232)</f>
        <v>0.57327586206896552</v>
      </c>
      <c r="G151" s="24">
        <v>82</v>
      </c>
      <c r="H151" s="26">
        <v>5</v>
      </c>
      <c r="I151" s="26">
        <f>SUM(214/138)</f>
        <v>1.5507246376811594</v>
      </c>
      <c r="J151" s="24">
        <v>105</v>
      </c>
      <c r="K151" s="24">
        <v>110</v>
      </c>
      <c r="L151" s="24">
        <v>847</v>
      </c>
      <c r="M151" s="26">
        <f>L151/D151</f>
        <v>6.13768115942029</v>
      </c>
      <c r="N151" s="17"/>
    </row>
    <row r="152" spans="2:14" ht="15" customHeight="1">
      <c r="B152" s="15"/>
      <c r="C152" s="5"/>
      <c r="D152" s="5"/>
      <c r="E152" s="16"/>
      <c r="F152" s="16"/>
      <c r="G152" s="5"/>
      <c r="H152" s="17"/>
      <c r="I152" s="17"/>
      <c r="J152" s="5"/>
      <c r="K152" s="5"/>
      <c r="L152" s="17"/>
      <c r="M152" s="17"/>
    </row>
    <row r="153" spans="2:14" ht="15" customHeight="1">
      <c r="B153" s="30" t="s">
        <v>416</v>
      </c>
      <c r="N153" s="8"/>
    </row>
    <row r="154" spans="2:14" ht="15" customHeight="1">
      <c r="B154" s="19" t="s">
        <v>2</v>
      </c>
      <c r="C154" s="20" t="s">
        <v>3</v>
      </c>
      <c r="D154" s="21" t="s">
        <v>4</v>
      </c>
      <c r="E154" s="22" t="s">
        <v>5</v>
      </c>
      <c r="F154" s="22" t="s">
        <v>6</v>
      </c>
      <c r="G154" s="21" t="s">
        <v>7</v>
      </c>
      <c r="H154" s="23" t="s">
        <v>8</v>
      </c>
      <c r="I154" s="23" t="s">
        <v>9</v>
      </c>
      <c r="J154" s="21" t="s">
        <v>10</v>
      </c>
      <c r="K154" s="21" t="s">
        <v>11</v>
      </c>
      <c r="L154" s="21" t="s">
        <v>12</v>
      </c>
      <c r="M154" s="23" t="s">
        <v>13</v>
      </c>
      <c r="N154" s="12"/>
    </row>
    <row r="155" spans="2:14" ht="15" customHeight="1">
      <c r="B155" s="24" t="s">
        <v>400</v>
      </c>
      <c r="C155" s="18" t="s">
        <v>362</v>
      </c>
      <c r="D155" s="24">
        <v>37</v>
      </c>
      <c r="E155" s="25">
        <v>0.45600000000000002</v>
      </c>
      <c r="F155" s="25">
        <v>0.69199999999999995</v>
      </c>
      <c r="G155" s="24">
        <v>1</v>
      </c>
      <c r="H155" s="26">
        <v>3.1</v>
      </c>
      <c r="I155" s="26">
        <v>0.6</v>
      </c>
      <c r="J155" s="24">
        <v>18</v>
      </c>
      <c r="K155" s="24">
        <v>21</v>
      </c>
      <c r="L155" s="24">
        <v>182</v>
      </c>
      <c r="M155" s="26">
        <f>L155/D155</f>
        <v>4.9189189189189193</v>
      </c>
      <c r="N155" s="12"/>
    </row>
    <row r="156" spans="2:14" ht="15" customHeight="1">
      <c r="B156" s="27" t="s">
        <v>15</v>
      </c>
      <c r="C156" s="18" t="s">
        <v>374</v>
      </c>
      <c r="D156" s="24">
        <v>166</v>
      </c>
      <c r="E156" s="25">
        <v>0.53100000000000003</v>
      </c>
      <c r="F156" s="25">
        <v>0.624</v>
      </c>
      <c r="G156" s="24">
        <v>1</v>
      </c>
      <c r="H156" s="26">
        <v>4.3</v>
      </c>
      <c r="I156" s="26">
        <v>0.6</v>
      </c>
      <c r="J156" s="24">
        <v>124</v>
      </c>
      <c r="K156" s="24">
        <v>192</v>
      </c>
      <c r="L156" s="24">
        <v>967</v>
      </c>
      <c r="M156" s="26">
        <f>L156/D156</f>
        <v>5.8253012048192767</v>
      </c>
      <c r="N156" s="17"/>
    </row>
    <row r="157" spans="2:14" ht="15" customHeight="1">
      <c r="B157" s="15"/>
      <c r="C157" s="5"/>
      <c r="D157" s="5"/>
      <c r="E157" s="16"/>
      <c r="F157" s="16"/>
      <c r="G157" s="5"/>
      <c r="H157" s="17"/>
      <c r="I157" s="17"/>
      <c r="J157" s="5"/>
      <c r="K157" s="5"/>
      <c r="L157" s="17"/>
      <c r="M157" s="17"/>
    </row>
    <row r="158" spans="2:14" ht="15" customHeight="1">
      <c r="B158" s="30" t="s">
        <v>417</v>
      </c>
      <c r="N158" s="8"/>
    </row>
    <row r="159" spans="2:14" ht="15" customHeight="1">
      <c r="B159" s="19" t="s">
        <v>2</v>
      </c>
      <c r="C159" s="20" t="s">
        <v>3</v>
      </c>
      <c r="D159" s="21" t="s">
        <v>4</v>
      </c>
      <c r="E159" s="22" t="s">
        <v>5</v>
      </c>
      <c r="F159" s="22" t="s">
        <v>6</v>
      </c>
      <c r="G159" s="21" t="s">
        <v>7</v>
      </c>
      <c r="H159" s="23" t="s">
        <v>8</v>
      </c>
      <c r="I159" s="23" t="s">
        <v>9</v>
      </c>
      <c r="J159" s="21" t="s">
        <v>10</v>
      </c>
      <c r="K159" s="21" t="s">
        <v>11</v>
      </c>
      <c r="L159" s="21" t="s">
        <v>12</v>
      </c>
      <c r="M159" s="23" t="s">
        <v>13</v>
      </c>
      <c r="N159" s="12"/>
    </row>
    <row r="160" spans="2:14" ht="15" customHeight="1">
      <c r="B160" s="24" t="s">
        <v>400</v>
      </c>
      <c r="C160" s="18" t="s">
        <v>418</v>
      </c>
      <c r="D160" s="24">
        <v>38</v>
      </c>
      <c r="E160" s="25">
        <f>SUM(271/402)</f>
        <v>0.67412935323383083</v>
      </c>
      <c r="F160" s="25">
        <f>SUM(108/136)</f>
        <v>0.79411764705882348</v>
      </c>
      <c r="G160" s="24">
        <v>0</v>
      </c>
      <c r="H160" s="26">
        <v>6.5</v>
      </c>
      <c r="I160" s="26">
        <f>SUM(52/38)</f>
        <v>1.368421052631579</v>
      </c>
      <c r="J160" s="24">
        <v>29</v>
      </c>
      <c r="K160" s="24">
        <v>15</v>
      </c>
      <c r="L160" s="24">
        <v>650</v>
      </c>
      <c r="M160" s="26">
        <f>L160/D160</f>
        <v>17.105263157894736</v>
      </c>
      <c r="N160" s="12"/>
    </row>
    <row r="161" spans="2:14" ht="15" customHeight="1">
      <c r="B161" s="27" t="s">
        <v>15</v>
      </c>
      <c r="C161" s="18" t="s">
        <v>374</v>
      </c>
      <c r="D161" s="24">
        <v>162</v>
      </c>
      <c r="E161" s="25">
        <f>SUM(1031/1537)</f>
        <v>0.67078724788549127</v>
      </c>
      <c r="F161" s="25">
        <f>SUM(351/466)</f>
        <v>0.75321888412017168</v>
      </c>
      <c r="G161" s="24">
        <v>0</v>
      </c>
      <c r="H161" s="26">
        <v>4.9000000000000004</v>
      </c>
      <c r="I161" s="26">
        <f>SUM(152/162)</f>
        <v>0.93827160493827155</v>
      </c>
      <c r="J161" s="24">
        <v>65</v>
      </c>
      <c r="K161" s="24">
        <v>60</v>
      </c>
      <c r="L161" s="24">
        <v>2413</v>
      </c>
      <c r="M161" s="26">
        <f>L161/D161</f>
        <v>14.895061728395062</v>
      </c>
      <c r="N161" s="17"/>
    </row>
    <row r="162" spans="2:14" ht="15" customHeight="1">
      <c r="B162" s="15"/>
      <c r="C162" s="5"/>
      <c r="D162" s="5"/>
      <c r="E162" s="16"/>
      <c r="F162" s="16"/>
      <c r="G162" s="5"/>
      <c r="H162" s="17"/>
      <c r="I162" s="17"/>
      <c r="J162" s="5"/>
      <c r="K162" s="5"/>
      <c r="L162" s="17"/>
      <c r="M162" s="17"/>
    </row>
    <row r="163" spans="2:14" ht="15" customHeight="1">
      <c r="B163" s="30" t="s">
        <v>419</v>
      </c>
      <c r="N163" s="8"/>
    </row>
    <row r="164" spans="2:14" ht="15" customHeight="1">
      <c r="B164" s="19" t="s">
        <v>2</v>
      </c>
      <c r="C164" s="20" t="s">
        <v>3</v>
      </c>
      <c r="D164" s="21" t="s">
        <v>4</v>
      </c>
      <c r="E164" s="22" t="s">
        <v>5</v>
      </c>
      <c r="F164" s="22" t="s">
        <v>6</v>
      </c>
      <c r="G164" s="21" t="s">
        <v>7</v>
      </c>
      <c r="H164" s="23" t="s">
        <v>8</v>
      </c>
      <c r="I164" s="23" t="s">
        <v>9</v>
      </c>
      <c r="J164" s="21" t="s">
        <v>10</v>
      </c>
      <c r="K164" s="21" t="s">
        <v>11</v>
      </c>
      <c r="L164" s="21" t="s">
        <v>12</v>
      </c>
      <c r="M164" s="23" t="s">
        <v>13</v>
      </c>
      <c r="N164" s="12"/>
    </row>
    <row r="165" spans="2:14" ht="15" customHeight="1">
      <c r="B165" s="24" t="s">
        <v>400</v>
      </c>
      <c r="C165" s="18" t="s">
        <v>420</v>
      </c>
      <c r="D165" s="24">
        <v>33</v>
      </c>
      <c r="E165" s="25">
        <v>0.42399999999999999</v>
      </c>
      <c r="F165" s="25">
        <v>0.70099999999999996</v>
      </c>
      <c r="G165" s="24">
        <v>33</v>
      </c>
      <c r="H165" s="26">
        <v>5.9</v>
      </c>
      <c r="I165" s="26">
        <v>2</v>
      </c>
      <c r="J165" s="24">
        <v>55</v>
      </c>
      <c r="K165" s="24">
        <v>6</v>
      </c>
      <c r="L165" s="24">
        <v>394</v>
      </c>
      <c r="M165" s="26">
        <f>L165/D165</f>
        <v>11.939393939393939</v>
      </c>
      <c r="N165" s="12"/>
    </row>
    <row r="166" spans="2:14" ht="15" customHeight="1">
      <c r="B166" s="27" t="s">
        <v>15</v>
      </c>
      <c r="C166" s="18" t="s">
        <v>374</v>
      </c>
      <c r="D166" s="24">
        <v>139</v>
      </c>
      <c r="E166" s="25">
        <v>0.435</v>
      </c>
      <c r="F166" s="25">
        <v>0.63400000000000001</v>
      </c>
      <c r="G166" s="24">
        <v>79</v>
      </c>
      <c r="H166" s="26">
        <v>4.0999999999999996</v>
      </c>
      <c r="I166" s="26">
        <v>1</v>
      </c>
      <c r="J166" s="24">
        <v>154</v>
      </c>
      <c r="K166" s="24">
        <v>40</v>
      </c>
      <c r="L166" s="24">
        <v>1026</v>
      </c>
      <c r="M166" s="26">
        <f>L166/D166</f>
        <v>7.3812949640287773</v>
      </c>
      <c r="N166" s="17"/>
    </row>
    <row r="167" spans="2:14" ht="15" customHeight="1">
      <c r="B167" s="15"/>
      <c r="C167" s="5"/>
      <c r="D167" s="5"/>
      <c r="E167" s="16"/>
      <c r="F167" s="16"/>
      <c r="G167" s="5"/>
      <c r="H167" s="17"/>
      <c r="I167" s="17"/>
      <c r="J167" s="5"/>
      <c r="K167" s="5"/>
      <c r="L167" s="17"/>
      <c r="M167" s="17"/>
    </row>
    <row r="168" spans="2:14" ht="15" customHeight="1">
      <c r="B168" s="30" t="s">
        <v>421</v>
      </c>
      <c r="N168" s="8"/>
    </row>
    <row r="169" spans="2:14" ht="15" customHeight="1">
      <c r="B169" s="19" t="s">
        <v>2</v>
      </c>
      <c r="C169" s="20" t="s">
        <v>3</v>
      </c>
      <c r="D169" s="21" t="s">
        <v>4</v>
      </c>
      <c r="E169" s="22" t="s">
        <v>5</v>
      </c>
      <c r="F169" s="22" t="s">
        <v>6</v>
      </c>
      <c r="G169" s="21" t="s">
        <v>7</v>
      </c>
      <c r="H169" s="23" t="s">
        <v>8</v>
      </c>
      <c r="I169" s="23" t="s">
        <v>9</v>
      </c>
      <c r="J169" s="21" t="s">
        <v>10</v>
      </c>
      <c r="K169" s="21" t="s">
        <v>11</v>
      </c>
      <c r="L169" s="21" t="s">
        <v>12</v>
      </c>
      <c r="M169" s="23" t="s">
        <v>13</v>
      </c>
      <c r="N169" s="12"/>
    </row>
    <row r="170" spans="2:14" ht="15" customHeight="1">
      <c r="B170" s="24" t="s">
        <v>400</v>
      </c>
      <c r="C170" s="18" t="s">
        <v>383</v>
      </c>
      <c r="D170" s="24">
        <v>36</v>
      </c>
      <c r="E170" s="25">
        <v>0.51700000000000002</v>
      </c>
      <c r="F170" s="25">
        <v>0.72599999999999998</v>
      </c>
      <c r="G170" s="24">
        <v>6</v>
      </c>
      <c r="H170" s="26">
        <v>5.6</v>
      </c>
      <c r="I170" s="26">
        <v>1.7</v>
      </c>
      <c r="J170" s="24">
        <v>40</v>
      </c>
      <c r="K170" s="24">
        <v>6</v>
      </c>
      <c r="L170" s="24">
        <v>392</v>
      </c>
      <c r="M170" s="26">
        <f>L170/D170</f>
        <v>10.888888888888889</v>
      </c>
      <c r="N170" s="12"/>
    </row>
    <row r="171" spans="2:14" ht="15" customHeight="1">
      <c r="B171" s="27" t="s">
        <v>15</v>
      </c>
      <c r="C171" s="18" t="s">
        <v>374</v>
      </c>
      <c r="D171" s="24">
        <v>149</v>
      </c>
      <c r="E171" s="25">
        <v>0.50700000000000001</v>
      </c>
      <c r="F171" s="25">
        <v>0.70199999999999996</v>
      </c>
      <c r="G171" s="24">
        <v>9</v>
      </c>
      <c r="H171" s="26">
        <v>5.9</v>
      </c>
      <c r="I171" s="26">
        <v>1.7</v>
      </c>
      <c r="J171" s="24">
        <v>174</v>
      </c>
      <c r="K171" s="24">
        <v>43</v>
      </c>
      <c r="L171" s="24">
        <v>1914</v>
      </c>
      <c r="M171" s="26">
        <f>L171/D171</f>
        <v>12.845637583892618</v>
      </c>
      <c r="N171" s="17"/>
    </row>
    <row r="172" spans="2:14" ht="15" customHeight="1">
      <c r="B172" s="15"/>
      <c r="C172" s="5"/>
      <c r="D172" s="5"/>
      <c r="E172" s="16"/>
      <c r="F172" s="16"/>
      <c r="G172" s="5"/>
      <c r="H172" s="17"/>
      <c r="I172" s="17"/>
      <c r="J172" s="5"/>
      <c r="K172" s="5"/>
      <c r="L172" s="17"/>
      <c r="M172" s="17"/>
    </row>
    <row r="173" spans="2:14" ht="15" customHeight="1">
      <c r="B173" s="30" t="s">
        <v>422</v>
      </c>
      <c r="N173" s="8"/>
    </row>
    <row r="174" spans="2:14" ht="15" customHeight="1">
      <c r="B174" s="19" t="s">
        <v>2</v>
      </c>
      <c r="C174" s="20" t="s">
        <v>3</v>
      </c>
      <c r="D174" s="21" t="s">
        <v>4</v>
      </c>
      <c r="E174" s="22" t="s">
        <v>5</v>
      </c>
      <c r="F174" s="22" t="s">
        <v>6</v>
      </c>
      <c r="G174" s="21" t="s">
        <v>7</v>
      </c>
      <c r="H174" s="23" t="s">
        <v>8</v>
      </c>
      <c r="I174" s="23" t="s">
        <v>9</v>
      </c>
      <c r="J174" s="21" t="s">
        <v>10</v>
      </c>
      <c r="K174" s="21" t="s">
        <v>11</v>
      </c>
      <c r="L174" s="21" t="s">
        <v>12</v>
      </c>
      <c r="M174" s="23" t="s">
        <v>13</v>
      </c>
      <c r="N174" s="12"/>
    </row>
    <row r="175" spans="2:14" ht="15" customHeight="1">
      <c r="B175" s="24" t="s">
        <v>400</v>
      </c>
      <c r="C175" s="18" t="s">
        <v>423</v>
      </c>
      <c r="D175" s="24">
        <v>26</v>
      </c>
      <c r="E175" s="25">
        <v>0.45500000000000002</v>
      </c>
      <c r="F175" s="25">
        <v>0.72</v>
      </c>
      <c r="G175" s="24">
        <v>9</v>
      </c>
      <c r="H175" s="26">
        <v>6.2</v>
      </c>
      <c r="I175" s="26">
        <v>1.9</v>
      </c>
      <c r="J175" s="24">
        <v>31</v>
      </c>
      <c r="K175" s="24">
        <v>16</v>
      </c>
      <c r="L175" s="24">
        <v>401</v>
      </c>
      <c r="M175" s="26">
        <f>L175/D175</f>
        <v>15.423076923076923</v>
      </c>
      <c r="N175" s="12"/>
    </row>
    <row r="176" spans="2:14" ht="15" customHeight="1">
      <c r="B176" s="27" t="s">
        <v>15</v>
      </c>
      <c r="C176" s="18" t="s">
        <v>363</v>
      </c>
      <c r="D176" s="24">
        <v>101</v>
      </c>
      <c r="E176" s="25">
        <v>0.42699999999999999</v>
      </c>
      <c r="F176" s="25">
        <v>0.70499999999999996</v>
      </c>
      <c r="G176" s="24">
        <v>28</v>
      </c>
      <c r="H176" s="26">
        <v>5.0999999999999996</v>
      </c>
      <c r="I176" s="26">
        <v>1.4</v>
      </c>
      <c r="J176" s="24">
        <v>76</v>
      </c>
      <c r="K176" s="24">
        <v>39</v>
      </c>
      <c r="L176" s="24">
        <v>1078</v>
      </c>
      <c r="M176" s="26">
        <f>L176/D176</f>
        <v>10.673267326732674</v>
      </c>
      <c r="N176" s="17"/>
    </row>
    <row r="177" spans="2:14" ht="15" customHeight="1">
      <c r="B177" s="15"/>
      <c r="C177" s="5"/>
      <c r="D177" s="5"/>
      <c r="E177" s="16"/>
      <c r="F177" s="16"/>
      <c r="G177" s="5"/>
      <c r="H177" s="17"/>
      <c r="I177" s="17"/>
      <c r="J177" s="5"/>
      <c r="K177" s="5"/>
      <c r="L177" s="17"/>
      <c r="M177" s="17"/>
    </row>
    <row r="178" spans="2:14" ht="15" customHeight="1">
      <c r="B178" s="30" t="s">
        <v>424</v>
      </c>
      <c r="N178" s="8"/>
    </row>
    <row r="179" spans="2:14" ht="15" customHeight="1">
      <c r="B179" s="19" t="s">
        <v>2</v>
      </c>
      <c r="C179" s="20" t="s">
        <v>3</v>
      </c>
      <c r="D179" s="21" t="s">
        <v>4</v>
      </c>
      <c r="E179" s="22" t="s">
        <v>5</v>
      </c>
      <c r="F179" s="22" t="s">
        <v>6</v>
      </c>
      <c r="G179" s="21" t="s">
        <v>7</v>
      </c>
      <c r="H179" s="23" t="s">
        <v>8</v>
      </c>
      <c r="I179" s="23" t="s">
        <v>9</v>
      </c>
      <c r="J179" s="21" t="s">
        <v>10</v>
      </c>
      <c r="K179" s="21" t="s">
        <v>11</v>
      </c>
      <c r="L179" s="21" t="s">
        <v>12</v>
      </c>
      <c r="M179" s="23" t="s">
        <v>13</v>
      </c>
      <c r="N179" s="12"/>
    </row>
    <row r="180" spans="2:14" ht="15" customHeight="1">
      <c r="B180" s="24" t="s">
        <v>400</v>
      </c>
      <c r="C180" s="18" t="s">
        <v>423</v>
      </c>
      <c r="D180" s="24">
        <v>31</v>
      </c>
      <c r="E180" s="25">
        <v>0.38600000000000001</v>
      </c>
      <c r="F180" s="25">
        <v>0.80900000000000005</v>
      </c>
      <c r="G180" s="24">
        <v>43</v>
      </c>
      <c r="H180" s="26">
        <v>4.9000000000000004</v>
      </c>
      <c r="I180" s="26">
        <v>1.5</v>
      </c>
      <c r="J180" s="24">
        <v>32</v>
      </c>
      <c r="K180" s="24">
        <v>10</v>
      </c>
      <c r="L180" s="24">
        <v>227</v>
      </c>
      <c r="M180" s="26">
        <f>L180/D180</f>
        <v>7.32258064516129</v>
      </c>
      <c r="N180" s="12"/>
    </row>
    <row r="181" spans="2:14" ht="15" customHeight="1">
      <c r="B181" s="27" t="s">
        <v>15</v>
      </c>
      <c r="C181" s="18" t="s">
        <v>425</v>
      </c>
      <c r="D181" s="24">
        <v>78</v>
      </c>
      <c r="E181" s="25">
        <v>0.432</v>
      </c>
      <c r="F181" s="25">
        <v>0.84399999999999997</v>
      </c>
      <c r="G181" s="24">
        <v>121</v>
      </c>
      <c r="H181" s="26">
        <v>5.0999999999999996</v>
      </c>
      <c r="I181" s="26">
        <v>1.4</v>
      </c>
      <c r="J181" s="24">
        <v>76</v>
      </c>
      <c r="K181" s="24">
        <v>21</v>
      </c>
      <c r="L181" s="24">
        <v>771</v>
      </c>
      <c r="M181" s="26">
        <f>L181/D181</f>
        <v>9.884615384615385</v>
      </c>
      <c r="N181" s="17"/>
    </row>
    <row r="182" spans="2:14" ht="15" customHeight="1">
      <c r="B182" s="15"/>
      <c r="C182" s="5"/>
      <c r="D182" s="5"/>
      <c r="E182" s="16"/>
      <c r="F182" s="16"/>
      <c r="G182" s="5"/>
      <c r="H182" s="17"/>
      <c r="I182" s="17"/>
      <c r="J182" s="5"/>
      <c r="K182" s="5"/>
      <c r="L182" s="17"/>
      <c r="M182" s="17"/>
    </row>
    <row r="183" spans="2:14" ht="15" customHeight="1">
      <c r="B183" s="30" t="s">
        <v>426</v>
      </c>
      <c r="N183" s="8"/>
    </row>
    <row r="184" spans="2:14" ht="15" customHeight="1">
      <c r="B184" s="19" t="s">
        <v>2</v>
      </c>
      <c r="C184" s="20" t="s">
        <v>3</v>
      </c>
      <c r="D184" s="21" t="s">
        <v>4</v>
      </c>
      <c r="E184" s="22" t="s">
        <v>5</v>
      </c>
      <c r="F184" s="22" t="s">
        <v>6</v>
      </c>
      <c r="G184" s="21" t="s">
        <v>7</v>
      </c>
      <c r="H184" s="23" t="s">
        <v>8</v>
      </c>
      <c r="I184" s="23" t="s">
        <v>9</v>
      </c>
      <c r="J184" s="21" t="s">
        <v>10</v>
      </c>
      <c r="K184" s="21" t="s">
        <v>11</v>
      </c>
      <c r="L184" s="21" t="s">
        <v>12</v>
      </c>
      <c r="M184" s="23" t="s">
        <v>13</v>
      </c>
      <c r="N184" s="12"/>
    </row>
    <row r="185" spans="2:14" ht="15" customHeight="1">
      <c r="B185" s="24" t="s">
        <v>400</v>
      </c>
      <c r="C185" s="18" t="s">
        <v>427</v>
      </c>
      <c r="D185" s="24">
        <v>32</v>
      </c>
      <c r="E185" s="25">
        <f>SUM(202/445)</f>
        <v>0.45393258426966293</v>
      </c>
      <c r="F185" s="25">
        <f>SUM(119/149)</f>
        <v>0.79865771812080533</v>
      </c>
      <c r="G185" s="24">
        <v>61</v>
      </c>
      <c r="H185" s="26">
        <f>SUM(153/32)</f>
        <v>4.78125</v>
      </c>
      <c r="I185" s="26">
        <f>SUM(97/32)</f>
        <v>3.03125</v>
      </c>
      <c r="J185" s="24">
        <v>27</v>
      </c>
      <c r="K185" s="24">
        <v>19</v>
      </c>
      <c r="L185" s="24">
        <v>584</v>
      </c>
      <c r="M185" s="26">
        <f>L185/D185</f>
        <v>18.25</v>
      </c>
      <c r="N185" s="12"/>
    </row>
    <row r="186" spans="2:14" ht="15" customHeight="1">
      <c r="B186" s="27" t="s">
        <v>15</v>
      </c>
      <c r="C186" s="18" t="s">
        <v>374</v>
      </c>
      <c r="D186" s="24">
        <v>148</v>
      </c>
      <c r="E186" s="25">
        <v>0.45800000000000002</v>
      </c>
      <c r="F186" s="25">
        <v>0.82399999999999995</v>
      </c>
      <c r="G186" s="24">
        <v>332</v>
      </c>
      <c r="H186" s="26">
        <v>4.0999999999999996</v>
      </c>
      <c r="I186" s="26">
        <v>3</v>
      </c>
      <c r="J186" s="24">
        <v>217</v>
      </c>
      <c r="K186" s="24">
        <v>92</v>
      </c>
      <c r="L186" s="24">
        <v>2600</v>
      </c>
      <c r="M186" s="26">
        <f>L186/D186</f>
        <v>17.567567567567568</v>
      </c>
      <c r="N186" s="17"/>
    </row>
    <row r="187" spans="2:14" ht="15" customHeight="1">
      <c r="B187" s="15"/>
      <c r="C187" s="5"/>
      <c r="D187" s="5"/>
      <c r="E187" s="16"/>
      <c r="F187" s="16"/>
      <c r="G187" s="5"/>
      <c r="H187" s="17"/>
      <c r="I187" s="17"/>
      <c r="J187" s="5"/>
      <c r="K187" s="5"/>
      <c r="L187" s="17"/>
      <c r="M187" s="17"/>
    </row>
    <row r="188" spans="2:14" ht="15" customHeight="1">
      <c r="B188" s="30" t="s">
        <v>428</v>
      </c>
      <c r="N188" s="8"/>
    </row>
    <row r="189" spans="2:14" ht="15" customHeight="1">
      <c r="B189" s="19" t="s">
        <v>2</v>
      </c>
      <c r="C189" s="20" t="s">
        <v>3</v>
      </c>
      <c r="D189" s="21" t="s">
        <v>4</v>
      </c>
      <c r="E189" s="22" t="s">
        <v>5</v>
      </c>
      <c r="F189" s="22" t="s">
        <v>6</v>
      </c>
      <c r="G189" s="21" t="s">
        <v>7</v>
      </c>
      <c r="H189" s="23" t="s">
        <v>8</v>
      </c>
      <c r="I189" s="23" t="s">
        <v>9</v>
      </c>
      <c r="J189" s="21" t="s">
        <v>10</v>
      </c>
      <c r="K189" s="21" t="s">
        <v>11</v>
      </c>
      <c r="L189" s="21" t="s">
        <v>12</v>
      </c>
      <c r="M189" s="23" t="s">
        <v>13</v>
      </c>
      <c r="N189" s="12"/>
    </row>
    <row r="190" spans="2:14" ht="15" customHeight="1">
      <c r="B190" s="24" t="s">
        <v>400</v>
      </c>
      <c r="C190" s="18" t="s">
        <v>385</v>
      </c>
      <c r="D190" s="24">
        <v>32</v>
      </c>
      <c r="E190" s="25">
        <v>0.38900000000000001</v>
      </c>
      <c r="F190" s="25">
        <v>0.68300000000000005</v>
      </c>
      <c r="G190" s="24">
        <v>43</v>
      </c>
      <c r="H190" s="26">
        <v>1.7</v>
      </c>
      <c r="I190" s="26">
        <v>0.6</v>
      </c>
      <c r="J190" s="24">
        <v>11</v>
      </c>
      <c r="K190" s="24">
        <v>2</v>
      </c>
      <c r="L190" s="24">
        <v>313</v>
      </c>
      <c r="M190" s="26">
        <f>L190/D190</f>
        <v>9.78125</v>
      </c>
      <c r="N190" s="12"/>
    </row>
    <row r="191" spans="2:14" ht="15" customHeight="1">
      <c r="B191" s="27" t="s">
        <v>15</v>
      </c>
      <c r="C191" s="18" t="s">
        <v>374</v>
      </c>
      <c r="D191" s="24">
        <v>144</v>
      </c>
      <c r="E191" s="25">
        <v>0.41599999999999998</v>
      </c>
      <c r="F191" s="25">
        <v>0.745</v>
      </c>
      <c r="G191" s="24">
        <v>108</v>
      </c>
      <c r="H191" s="26">
        <v>2.1</v>
      </c>
      <c r="I191" s="26">
        <v>0.8</v>
      </c>
      <c r="J191" s="24">
        <v>55</v>
      </c>
      <c r="K191" s="24">
        <v>24</v>
      </c>
      <c r="L191" s="24">
        <v>1503</v>
      </c>
      <c r="M191" s="26">
        <f>L191/D191</f>
        <v>10.4375</v>
      </c>
      <c r="N191" s="17"/>
    </row>
    <row r="192" spans="2:14" ht="15" customHeight="1">
      <c r="B192" s="15"/>
      <c r="C192" s="5"/>
      <c r="D192" s="5"/>
      <c r="E192" s="16"/>
      <c r="F192" s="16"/>
      <c r="G192" s="5"/>
      <c r="H192" s="17"/>
      <c r="I192" s="17"/>
      <c r="J192" s="5"/>
      <c r="K192" s="5"/>
      <c r="L192" s="17"/>
      <c r="M192" s="17"/>
    </row>
    <row r="193" spans="2:14" ht="15" customHeight="1">
      <c r="B193" s="30" t="s">
        <v>429</v>
      </c>
      <c r="N193" s="8"/>
    </row>
    <row r="194" spans="2:14" ht="15" customHeight="1">
      <c r="B194" s="19" t="s">
        <v>2</v>
      </c>
      <c r="C194" s="20" t="s">
        <v>3</v>
      </c>
      <c r="D194" s="21" t="s">
        <v>4</v>
      </c>
      <c r="E194" s="22" t="s">
        <v>5</v>
      </c>
      <c r="F194" s="22" t="s">
        <v>6</v>
      </c>
      <c r="G194" s="21" t="s">
        <v>7</v>
      </c>
      <c r="H194" s="23" t="s">
        <v>8</v>
      </c>
      <c r="I194" s="23" t="s">
        <v>9</v>
      </c>
      <c r="J194" s="21" t="s">
        <v>10</v>
      </c>
      <c r="K194" s="21" t="s">
        <v>11</v>
      </c>
      <c r="L194" s="21" t="s">
        <v>12</v>
      </c>
      <c r="M194" s="23" t="s">
        <v>13</v>
      </c>
      <c r="N194" s="12"/>
    </row>
    <row r="195" spans="2:14" ht="15" customHeight="1">
      <c r="B195" s="24" t="s">
        <v>400</v>
      </c>
      <c r="C195" s="18" t="s">
        <v>430</v>
      </c>
      <c r="D195" s="24">
        <v>33</v>
      </c>
      <c r="E195" s="25">
        <v>0.35399999999999998</v>
      </c>
      <c r="F195" s="25">
        <v>0.57099999999999995</v>
      </c>
      <c r="G195" s="24">
        <v>18</v>
      </c>
      <c r="H195" s="26">
        <v>2.2000000000000002</v>
      </c>
      <c r="I195" s="26">
        <v>0.5</v>
      </c>
      <c r="J195" s="24">
        <v>5</v>
      </c>
      <c r="K195" s="24">
        <v>15</v>
      </c>
      <c r="L195" s="24">
        <v>78</v>
      </c>
      <c r="M195" s="26">
        <f>L195/D195</f>
        <v>2.3636363636363638</v>
      </c>
      <c r="N195" s="12"/>
    </row>
    <row r="196" spans="2:14" ht="15" customHeight="1">
      <c r="B196" s="27" t="s">
        <v>15</v>
      </c>
      <c r="C196" s="18" t="s">
        <v>363</v>
      </c>
      <c r="D196" s="24">
        <v>129</v>
      </c>
      <c r="E196" s="25">
        <v>0.432</v>
      </c>
      <c r="F196" s="25">
        <v>0.54400000000000004</v>
      </c>
      <c r="G196" s="24">
        <v>83</v>
      </c>
      <c r="H196" s="26">
        <v>3.4</v>
      </c>
      <c r="I196" s="26">
        <v>0.7</v>
      </c>
      <c r="J196" s="24">
        <v>37</v>
      </c>
      <c r="K196" s="24">
        <v>98</v>
      </c>
      <c r="L196" s="24">
        <v>578</v>
      </c>
      <c r="M196" s="26">
        <f>L196/D196</f>
        <v>4.4806201550387597</v>
      </c>
      <c r="N196" s="17"/>
    </row>
    <row r="197" spans="2:14" ht="15" customHeight="1">
      <c r="B197" s="15"/>
      <c r="C197" s="5"/>
      <c r="D197" s="5"/>
      <c r="E197" s="16"/>
      <c r="F197" s="16"/>
      <c r="G197" s="5"/>
      <c r="H197" s="17"/>
      <c r="I197" s="17"/>
      <c r="J197" s="5"/>
      <c r="K197" s="5"/>
      <c r="L197" s="17"/>
      <c r="M197" s="17"/>
    </row>
    <row r="198" spans="2:14" ht="15" customHeight="1">
      <c r="B198" s="30" t="s">
        <v>431</v>
      </c>
      <c r="N198" s="8"/>
    </row>
    <row r="199" spans="2:14" ht="15" customHeight="1">
      <c r="B199" s="19" t="s">
        <v>2</v>
      </c>
      <c r="C199" s="20" t="s">
        <v>3</v>
      </c>
      <c r="D199" s="21" t="s">
        <v>4</v>
      </c>
      <c r="E199" s="22" t="s">
        <v>5</v>
      </c>
      <c r="F199" s="22" t="s">
        <v>6</v>
      </c>
      <c r="G199" s="21" t="s">
        <v>7</v>
      </c>
      <c r="H199" s="23" t="s">
        <v>8</v>
      </c>
      <c r="I199" s="23" t="s">
        <v>9</v>
      </c>
      <c r="J199" s="21" t="s">
        <v>10</v>
      </c>
      <c r="K199" s="21" t="s">
        <v>11</v>
      </c>
      <c r="L199" s="21" t="s">
        <v>12</v>
      </c>
      <c r="M199" s="23" t="s">
        <v>13</v>
      </c>
      <c r="N199" s="12"/>
    </row>
    <row r="200" spans="2:14" ht="15" customHeight="1">
      <c r="B200" s="24" t="s">
        <v>400</v>
      </c>
      <c r="C200" s="18" t="s">
        <v>432</v>
      </c>
      <c r="D200" s="24">
        <v>32</v>
      </c>
      <c r="E200" s="25">
        <v>0.47799999999999998</v>
      </c>
      <c r="F200" s="25">
        <v>0.71699999999999997</v>
      </c>
      <c r="G200" s="24">
        <v>21</v>
      </c>
      <c r="H200" s="26">
        <v>5.8</v>
      </c>
      <c r="I200" s="26">
        <v>1.3</v>
      </c>
      <c r="J200" s="24">
        <v>43</v>
      </c>
      <c r="K200" s="24">
        <v>55</v>
      </c>
      <c r="L200" s="24">
        <v>483</v>
      </c>
      <c r="M200" s="26">
        <f>L200/D200</f>
        <v>15.09375</v>
      </c>
      <c r="N200" s="12"/>
    </row>
    <row r="201" spans="2:14" ht="15" customHeight="1">
      <c r="B201" s="27" t="s">
        <v>15</v>
      </c>
      <c r="C201" s="18" t="s">
        <v>374</v>
      </c>
      <c r="D201" s="24">
        <v>128</v>
      </c>
      <c r="E201" s="25">
        <v>0.42699999999999999</v>
      </c>
      <c r="F201" s="25">
        <v>0.72599999999999998</v>
      </c>
      <c r="G201" s="24">
        <v>78</v>
      </c>
      <c r="H201" s="26">
        <v>4.3</v>
      </c>
      <c r="I201" s="26">
        <v>0.8</v>
      </c>
      <c r="J201" s="24">
        <v>133</v>
      </c>
      <c r="K201" s="24">
        <v>165</v>
      </c>
      <c r="L201" s="24">
        <v>1209</v>
      </c>
      <c r="M201" s="26">
        <f>L201/D201</f>
        <v>9.4453125</v>
      </c>
      <c r="N201" s="17"/>
    </row>
    <row r="202" spans="2:14" ht="15" customHeight="1">
      <c r="B202" s="15"/>
      <c r="C202" s="5"/>
      <c r="D202" s="5"/>
      <c r="E202" s="16"/>
      <c r="F202" s="16"/>
      <c r="G202" s="5"/>
      <c r="H202" s="17"/>
      <c r="I202" s="17"/>
      <c r="J202" s="5"/>
      <c r="K202" s="5"/>
      <c r="L202" s="17"/>
      <c r="M202" s="17"/>
    </row>
    <row r="203" spans="2:14" ht="15" customHeight="1">
      <c r="B203" s="30" t="s">
        <v>433</v>
      </c>
      <c r="N203" s="8"/>
    </row>
    <row r="204" spans="2:14" ht="15" customHeight="1">
      <c r="B204" s="19" t="s">
        <v>2</v>
      </c>
      <c r="C204" s="20" t="s">
        <v>3</v>
      </c>
      <c r="D204" s="21" t="s">
        <v>4</v>
      </c>
      <c r="E204" s="22" t="s">
        <v>5</v>
      </c>
      <c r="F204" s="22" t="s">
        <v>6</v>
      </c>
      <c r="G204" s="21" t="s">
        <v>7</v>
      </c>
      <c r="H204" s="23" t="s">
        <v>8</v>
      </c>
      <c r="I204" s="23" t="s">
        <v>9</v>
      </c>
      <c r="J204" s="21" t="s">
        <v>10</v>
      </c>
      <c r="K204" s="21" t="s">
        <v>11</v>
      </c>
      <c r="L204" s="21" t="s">
        <v>12</v>
      </c>
      <c r="M204" s="23" t="s">
        <v>13</v>
      </c>
      <c r="N204" s="12"/>
    </row>
    <row r="205" spans="2:14" ht="15" customHeight="1">
      <c r="B205" s="24" t="s">
        <v>400</v>
      </c>
      <c r="C205" s="18" t="s">
        <v>434</v>
      </c>
      <c r="D205" s="24">
        <v>30</v>
      </c>
      <c r="E205" s="25">
        <v>0.45500000000000002</v>
      </c>
      <c r="F205" s="25">
        <v>0.70699999999999996</v>
      </c>
      <c r="G205" s="24">
        <v>71</v>
      </c>
      <c r="H205" s="26">
        <v>7</v>
      </c>
      <c r="I205" s="26">
        <v>2.1</v>
      </c>
      <c r="J205" s="24">
        <v>52</v>
      </c>
      <c r="K205" s="24">
        <v>4</v>
      </c>
      <c r="L205" s="24">
        <v>535</v>
      </c>
      <c r="M205" s="26">
        <f>L205/D205</f>
        <v>17.833333333333332</v>
      </c>
      <c r="N205" s="12"/>
    </row>
    <row r="206" spans="2:14" ht="15" customHeight="1">
      <c r="B206" s="27" t="s">
        <v>15</v>
      </c>
      <c r="C206" s="18" t="s">
        <v>425</v>
      </c>
      <c r="D206" s="24">
        <v>94</v>
      </c>
      <c r="E206" s="25">
        <v>0.42399999999999999</v>
      </c>
      <c r="F206" s="25">
        <v>0.71899999999999997</v>
      </c>
      <c r="G206" s="24">
        <v>196</v>
      </c>
      <c r="H206" s="26">
        <v>5.4</v>
      </c>
      <c r="I206" s="26">
        <v>1.5</v>
      </c>
      <c r="J206" s="24">
        <v>127</v>
      </c>
      <c r="K206" s="24">
        <v>6</v>
      </c>
      <c r="L206" s="24">
        <v>1336</v>
      </c>
      <c r="M206" s="26">
        <f>L206/D206</f>
        <v>14.212765957446809</v>
      </c>
      <c r="N206" s="17"/>
    </row>
    <row r="207" spans="2:14" ht="15" customHeight="1">
      <c r="B207" s="15"/>
      <c r="C207" s="5"/>
      <c r="D207" s="5"/>
      <c r="E207" s="16"/>
      <c r="F207" s="16"/>
      <c r="G207" s="5"/>
      <c r="H207" s="17"/>
      <c r="I207" s="17"/>
      <c r="J207" s="5"/>
      <c r="K207" s="5"/>
      <c r="L207" s="17"/>
      <c r="M207" s="17"/>
    </row>
    <row r="208" spans="2:14" ht="15" customHeight="1">
      <c r="B208" s="15"/>
      <c r="C208" s="5"/>
      <c r="D208" s="5"/>
      <c r="E208" s="16"/>
      <c r="F208" s="16"/>
      <c r="G208" s="5"/>
      <c r="H208" s="17"/>
      <c r="I208" s="17"/>
      <c r="J208" s="5"/>
      <c r="K208" s="5"/>
      <c r="L208" s="17"/>
      <c r="M208" s="17"/>
    </row>
    <row r="209" spans="2:14" ht="15" customHeight="1">
      <c r="B209" s="30" t="s">
        <v>435</v>
      </c>
      <c r="N209" s="8"/>
    </row>
    <row r="210" spans="2:14" ht="15" customHeight="1">
      <c r="B210" s="19" t="s">
        <v>2</v>
      </c>
      <c r="C210" s="20" t="s">
        <v>3</v>
      </c>
      <c r="D210" s="21" t="s">
        <v>4</v>
      </c>
      <c r="E210" s="22" t="s">
        <v>5</v>
      </c>
      <c r="F210" s="22" t="s">
        <v>6</v>
      </c>
      <c r="G210" s="21" t="s">
        <v>7</v>
      </c>
      <c r="H210" s="23" t="s">
        <v>8</v>
      </c>
      <c r="I210" s="23" t="s">
        <v>9</v>
      </c>
      <c r="J210" s="21" t="s">
        <v>10</v>
      </c>
      <c r="K210" s="21" t="s">
        <v>11</v>
      </c>
      <c r="L210" s="21" t="s">
        <v>12</v>
      </c>
      <c r="M210" s="23" t="s">
        <v>13</v>
      </c>
      <c r="N210" s="12"/>
    </row>
    <row r="211" spans="2:14" ht="15" customHeight="1">
      <c r="B211" s="24" t="s">
        <v>436</v>
      </c>
      <c r="C211" s="18" t="s">
        <v>437</v>
      </c>
      <c r="D211" s="24">
        <v>32</v>
      </c>
      <c r="E211" s="25">
        <v>0.39200000000000002</v>
      </c>
      <c r="F211" s="25">
        <v>0.79600000000000004</v>
      </c>
      <c r="G211" s="24">
        <v>115</v>
      </c>
      <c r="H211" s="26">
        <v>4.5999999999999996</v>
      </c>
      <c r="I211" s="26">
        <v>3.6</v>
      </c>
      <c r="J211" s="24">
        <v>76</v>
      </c>
      <c r="K211" s="24">
        <v>6</v>
      </c>
      <c r="L211" s="24">
        <v>712</v>
      </c>
      <c r="M211" s="26">
        <f>L211/D211</f>
        <v>22.25</v>
      </c>
      <c r="N211" s="12"/>
    </row>
    <row r="212" spans="2:14" ht="15" customHeight="1">
      <c r="B212" s="27" t="s">
        <v>15</v>
      </c>
      <c r="C212" s="18" t="s">
        <v>374</v>
      </c>
      <c r="D212" s="24">
        <v>153</v>
      </c>
      <c r="E212" s="25">
        <v>0.38700000000000001</v>
      </c>
      <c r="F212" s="25">
        <v>0.79100000000000004</v>
      </c>
      <c r="G212" s="24">
        <v>430</v>
      </c>
      <c r="H212" s="26">
        <v>4.9000000000000004</v>
      </c>
      <c r="I212" s="26">
        <v>4.0999999999999996</v>
      </c>
      <c r="J212" s="24">
        <v>379</v>
      </c>
      <c r="K212" s="24">
        <v>20</v>
      </c>
      <c r="L212" s="24">
        <v>3403</v>
      </c>
      <c r="M212" s="26">
        <f>L212/D212</f>
        <v>22.241830065359476</v>
      </c>
      <c r="N212" s="17"/>
    </row>
    <row r="213" spans="2:14" ht="15" customHeight="1">
      <c r="B213" s="15"/>
      <c r="C213" s="5"/>
      <c r="D213" s="5"/>
      <c r="E213" s="16"/>
      <c r="F213" s="16"/>
      <c r="G213" s="5"/>
      <c r="H213" s="17"/>
      <c r="I213" s="17"/>
      <c r="J213" s="5"/>
      <c r="K213" s="5"/>
      <c r="L213" s="17"/>
      <c r="M213" s="17"/>
    </row>
    <row r="214" spans="2:14" ht="15" customHeight="1">
      <c r="B214" s="30" t="s">
        <v>438</v>
      </c>
      <c r="N214" s="8"/>
    </row>
    <row r="215" spans="2:14" ht="15" customHeight="1">
      <c r="B215" s="19" t="s">
        <v>2</v>
      </c>
      <c r="C215" s="20" t="s">
        <v>3</v>
      </c>
      <c r="D215" s="21" t="s">
        <v>4</v>
      </c>
      <c r="E215" s="22" t="s">
        <v>5</v>
      </c>
      <c r="F215" s="22" t="s">
        <v>6</v>
      </c>
      <c r="G215" s="21" t="s">
        <v>7</v>
      </c>
      <c r="H215" s="23" t="s">
        <v>8</v>
      </c>
      <c r="I215" s="23" t="s">
        <v>9</v>
      </c>
      <c r="J215" s="21" t="s">
        <v>10</v>
      </c>
      <c r="K215" s="21" t="s">
        <v>11</v>
      </c>
      <c r="L215" s="21" t="s">
        <v>12</v>
      </c>
      <c r="M215" s="23" t="s">
        <v>13</v>
      </c>
      <c r="N215" s="12"/>
    </row>
    <row r="216" spans="2:14" ht="15" customHeight="1">
      <c r="B216" s="24" t="s">
        <v>436</v>
      </c>
      <c r="C216" s="18" t="s">
        <v>439</v>
      </c>
      <c r="D216" s="24">
        <v>34</v>
      </c>
      <c r="E216" s="25">
        <v>0.41</v>
      </c>
      <c r="F216" s="25">
        <v>0.89200000000000002</v>
      </c>
      <c r="G216" s="24">
        <v>57</v>
      </c>
      <c r="H216" s="26">
        <v>5.2</v>
      </c>
      <c r="I216" s="26">
        <v>4</v>
      </c>
      <c r="J216" s="24">
        <v>55</v>
      </c>
      <c r="K216" s="24">
        <v>9</v>
      </c>
      <c r="L216" s="24">
        <v>474</v>
      </c>
      <c r="M216" s="26">
        <f>L216/D216</f>
        <v>13.941176470588236</v>
      </c>
      <c r="N216" s="12"/>
    </row>
    <row r="217" spans="2:14" ht="15" customHeight="1">
      <c r="B217" s="27" t="s">
        <v>15</v>
      </c>
      <c r="C217" s="18" t="s">
        <v>374</v>
      </c>
      <c r="D217" s="24">
        <v>152</v>
      </c>
      <c r="E217" s="25">
        <v>0.38100000000000001</v>
      </c>
      <c r="F217" s="25">
        <v>0.85299999999999998</v>
      </c>
      <c r="G217" s="24">
        <v>282</v>
      </c>
      <c r="H217" s="26">
        <v>5.6</v>
      </c>
      <c r="I217" s="26">
        <v>3.1</v>
      </c>
      <c r="J217" s="24">
        <v>234</v>
      </c>
      <c r="K217" s="24">
        <v>47</v>
      </c>
      <c r="L217" s="24">
        <v>2272</v>
      </c>
      <c r="M217" s="26">
        <f>L217/D217</f>
        <v>14.947368421052632</v>
      </c>
      <c r="N217" s="17"/>
    </row>
    <row r="218" spans="2:14" ht="15" customHeight="1">
      <c r="B218" s="15"/>
      <c r="C218" s="5"/>
      <c r="D218" s="5"/>
      <c r="E218" s="16"/>
      <c r="F218" s="16"/>
      <c r="G218" s="5"/>
      <c r="H218" s="17"/>
      <c r="I218" s="17"/>
      <c r="J218" s="5"/>
      <c r="K218" s="5"/>
      <c r="L218" s="17"/>
      <c r="M218" s="17"/>
    </row>
    <row r="220" spans="2:14">
      <c r="B220" s="30" t="s">
        <v>440</v>
      </c>
    </row>
    <row r="221" spans="2:14">
      <c r="B221" s="19" t="s">
        <v>2</v>
      </c>
      <c r="C221" s="20" t="s">
        <v>3</v>
      </c>
      <c r="D221" s="21" t="s">
        <v>4</v>
      </c>
      <c r="E221" s="22" t="s">
        <v>5</v>
      </c>
      <c r="F221" s="22" t="s">
        <v>6</v>
      </c>
      <c r="G221" s="21" t="s">
        <v>7</v>
      </c>
      <c r="H221" s="23" t="s">
        <v>8</v>
      </c>
      <c r="I221" s="23" t="s">
        <v>9</v>
      </c>
      <c r="J221" s="21" t="s">
        <v>10</v>
      </c>
      <c r="K221" s="21" t="s">
        <v>11</v>
      </c>
      <c r="L221" s="21" t="s">
        <v>12</v>
      </c>
      <c r="M221" s="23" t="s">
        <v>13</v>
      </c>
    </row>
    <row r="222" spans="2:14">
      <c r="B222" s="24" t="s">
        <v>436</v>
      </c>
      <c r="C222" s="18" t="s">
        <v>383</v>
      </c>
      <c r="D222" s="24">
        <v>29</v>
      </c>
      <c r="E222" s="25">
        <v>0.55600000000000005</v>
      </c>
      <c r="F222" s="25">
        <v>0.77400000000000002</v>
      </c>
      <c r="G222" s="24">
        <v>2</v>
      </c>
      <c r="H222" s="26">
        <v>11.4</v>
      </c>
      <c r="I222" s="26">
        <v>1.8</v>
      </c>
      <c r="J222" s="24">
        <v>17</v>
      </c>
      <c r="K222" s="24">
        <v>60</v>
      </c>
      <c r="L222" s="24">
        <v>661</v>
      </c>
      <c r="M222" s="26">
        <f>L222/D222</f>
        <v>22.793103448275861</v>
      </c>
    </row>
    <row r="223" spans="2:14">
      <c r="B223" s="27" t="s">
        <v>15</v>
      </c>
      <c r="C223" s="18" t="s">
        <v>374</v>
      </c>
      <c r="D223" s="24">
        <v>151</v>
      </c>
      <c r="E223" s="25">
        <v>0.55200000000000005</v>
      </c>
      <c r="F223" s="25">
        <v>0.73499999999999999</v>
      </c>
      <c r="G223" s="24">
        <v>8</v>
      </c>
      <c r="H223" s="26">
        <v>10</v>
      </c>
      <c r="I223" s="26">
        <v>1.5</v>
      </c>
      <c r="J223" s="24">
        <v>75</v>
      </c>
      <c r="K223" s="24">
        <v>331</v>
      </c>
      <c r="L223" s="24">
        <v>2709</v>
      </c>
      <c r="M223" s="26">
        <f>L223/D223</f>
        <v>17.940397350993379</v>
      </c>
    </row>
    <row r="226" spans="2:13">
      <c r="B226" s="30" t="s">
        <v>441</v>
      </c>
    </row>
    <row r="227" spans="2:13">
      <c r="B227" s="19" t="s">
        <v>2</v>
      </c>
      <c r="C227" s="20" t="s">
        <v>3</v>
      </c>
      <c r="D227" s="21" t="s">
        <v>4</v>
      </c>
      <c r="E227" s="22" t="s">
        <v>5</v>
      </c>
      <c r="F227" s="22" t="s">
        <v>6</v>
      </c>
      <c r="G227" s="21" t="s">
        <v>7</v>
      </c>
      <c r="H227" s="23" t="s">
        <v>8</v>
      </c>
      <c r="I227" s="23" t="s">
        <v>9</v>
      </c>
      <c r="J227" s="21" t="s">
        <v>10</v>
      </c>
      <c r="K227" s="21" t="s">
        <v>11</v>
      </c>
      <c r="L227" s="21" t="s">
        <v>12</v>
      </c>
      <c r="M227" s="23" t="s">
        <v>13</v>
      </c>
    </row>
    <row r="228" spans="2:13">
      <c r="B228" s="24" t="s">
        <v>442</v>
      </c>
      <c r="C228" s="18" t="s">
        <v>434</v>
      </c>
      <c r="D228" s="24">
        <v>28</v>
      </c>
      <c r="E228" s="25">
        <v>0.51400000000000001</v>
      </c>
      <c r="F228" s="25">
        <v>0.70899999999999996</v>
      </c>
      <c r="G228" s="24">
        <v>36</v>
      </c>
      <c r="H228" s="26">
        <v>6.3</v>
      </c>
      <c r="I228" s="26">
        <v>3.9</v>
      </c>
      <c r="J228" s="24">
        <v>56</v>
      </c>
      <c r="K228" s="24">
        <v>22</v>
      </c>
      <c r="L228" s="24">
        <v>510</v>
      </c>
      <c r="M228" s="26">
        <f>L228/D228</f>
        <v>18.214285714285715</v>
      </c>
    </row>
    <row r="229" spans="2:13">
      <c r="B229" s="27" t="s">
        <v>15</v>
      </c>
      <c r="C229" s="18" t="s">
        <v>374</v>
      </c>
      <c r="D229" s="24">
        <v>147</v>
      </c>
      <c r="E229" s="25">
        <v>0.443</v>
      </c>
      <c r="F229" s="25">
        <v>0.69</v>
      </c>
      <c r="G229" s="24">
        <v>145</v>
      </c>
      <c r="H229" s="26">
        <v>4.9000000000000004</v>
      </c>
      <c r="I229" s="26">
        <v>2.6</v>
      </c>
      <c r="J229" s="24">
        <v>224</v>
      </c>
      <c r="K229" s="24">
        <v>72</v>
      </c>
      <c r="L229" s="24">
        <v>1642</v>
      </c>
      <c r="M229" s="26">
        <f>L229/D229</f>
        <v>11.170068027210885</v>
      </c>
    </row>
    <row r="231" spans="2:13">
      <c r="B231" s="30" t="s">
        <v>443</v>
      </c>
    </row>
    <row r="232" spans="2:13">
      <c r="B232" s="19" t="s">
        <v>2</v>
      </c>
      <c r="C232" s="20" t="s">
        <v>3</v>
      </c>
      <c r="D232" s="21" t="s">
        <v>4</v>
      </c>
      <c r="E232" s="22" t="s">
        <v>5</v>
      </c>
      <c r="F232" s="22" t="s">
        <v>6</v>
      </c>
      <c r="G232" s="21" t="s">
        <v>7</v>
      </c>
      <c r="H232" s="23" t="s">
        <v>8</v>
      </c>
      <c r="I232" s="23" t="s">
        <v>9</v>
      </c>
      <c r="J232" s="21" t="s">
        <v>10</v>
      </c>
      <c r="K232" s="21" t="s">
        <v>11</v>
      </c>
      <c r="L232" s="21" t="s">
        <v>12</v>
      </c>
      <c r="M232" s="23" t="s">
        <v>13</v>
      </c>
    </row>
    <row r="233" spans="2:13">
      <c r="B233" s="24" t="s">
        <v>442</v>
      </c>
      <c r="C233" s="18" t="s">
        <v>396</v>
      </c>
      <c r="D233" s="24">
        <v>38</v>
      </c>
      <c r="E233" s="25">
        <v>0.45200000000000001</v>
      </c>
      <c r="F233" s="25">
        <v>0.82699999999999996</v>
      </c>
      <c r="G233" s="24">
        <v>66</v>
      </c>
      <c r="H233" s="26">
        <v>4.5999999999999996</v>
      </c>
      <c r="I233" s="26">
        <v>5.4</v>
      </c>
      <c r="J233" s="24">
        <v>46</v>
      </c>
      <c r="K233" s="24">
        <v>22</v>
      </c>
      <c r="L233" s="24">
        <v>680</v>
      </c>
      <c r="M233" s="26">
        <f>L233/D233</f>
        <v>17.894736842105264</v>
      </c>
    </row>
    <row r="234" spans="2:13">
      <c r="B234" s="27" t="s">
        <v>15</v>
      </c>
      <c r="C234" s="18" t="s">
        <v>374</v>
      </c>
      <c r="D234" s="24">
        <v>172</v>
      </c>
      <c r="E234" s="25">
        <v>0.42199999999999999</v>
      </c>
      <c r="F234" s="25">
        <v>0.84</v>
      </c>
      <c r="G234" s="24">
        <v>258</v>
      </c>
      <c r="H234" s="26">
        <v>4.0999999999999996</v>
      </c>
      <c r="I234" s="26">
        <v>3.4</v>
      </c>
      <c r="J234" s="24">
        <v>222</v>
      </c>
      <c r="K234" s="24">
        <v>57</v>
      </c>
      <c r="L234" s="24">
        <v>2616</v>
      </c>
      <c r="M234" s="26">
        <f>L234/D234</f>
        <v>15.209302325581396</v>
      </c>
    </row>
    <row r="236" spans="2:13">
      <c r="B236" s="30" t="s">
        <v>444</v>
      </c>
    </row>
    <row r="237" spans="2:13">
      <c r="B237" s="19" t="s">
        <v>2</v>
      </c>
      <c r="C237" s="20" t="s">
        <v>3</v>
      </c>
      <c r="D237" s="21" t="s">
        <v>4</v>
      </c>
      <c r="E237" s="22" t="s">
        <v>5</v>
      </c>
      <c r="F237" s="22" t="s">
        <v>6</v>
      </c>
      <c r="G237" s="21" t="s">
        <v>7</v>
      </c>
      <c r="H237" s="23" t="s">
        <v>8</v>
      </c>
      <c r="I237" s="23" t="s">
        <v>9</v>
      </c>
      <c r="J237" s="21" t="s">
        <v>10</v>
      </c>
      <c r="K237" s="21" t="s">
        <v>11</v>
      </c>
      <c r="L237" s="21" t="s">
        <v>12</v>
      </c>
      <c r="M237" s="23" t="s">
        <v>13</v>
      </c>
    </row>
    <row r="238" spans="2:13">
      <c r="B238" s="24" t="s">
        <v>442</v>
      </c>
      <c r="C238" s="18" t="s">
        <v>358</v>
      </c>
      <c r="D238" s="24">
        <v>35</v>
      </c>
      <c r="E238" s="25">
        <v>0.41899999999999998</v>
      </c>
      <c r="F238" s="25">
        <v>0.67400000000000004</v>
      </c>
      <c r="G238" s="24">
        <v>25</v>
      </c>
      <c r="H238" s="26">
        <v>6.6</v>
      </c>
      <c r="I238" s="26">
        <v>3.8</v>
      </c>
      <c r="J238" s="24">
        <v>57</v>
      </c>
      <c r="K238" s="24">
        <v>46</v>
      </c>
      <c r="L238" s="24">
        <v>415</v>
      </c>
      <c r="M238" s="26">
        <f>L238/D238</f>
        <v>11.857142857142858</v>
      </c>
    </row>
    <row r="239" spans="2:13">
      <c r="B239" s="27" t="s">
        <v>15</v>
      </c>
      <c r="C239" s="18" t="s">
        <v>363</v>
      </c>
      <c r="D239" s="24">
        <v>128</v>
      </c>
      <c r="E239" s="25">
        <v>0.39500000000000002</v>
      </c>
      <c r="F239" s="25">
        <v>0.67900000000000005</v>
      </c>
      <c r="G239" s="24">
        <v>65</v>
      </c>
      <c r="H239" s="26">
        <v>5.0999999999999996</v>
      </c>
      <c r="I239" s="26">
        <v>3.1</v>
      </c>
      <c r="J239" s="24">
        <v>202</v>
      </c>
      <c r="K239" s="24">
        <v>122</v>
      </c>
      <c r="L239" s="24">
        <v>1179</v>
      </c>
      <c r="M239" s="26">
        <f>L239/D239</f>
        <v>9.2109375</v>
      </c>
    </row>
    <row r="241" spans="2:13">
      <c r="B241" s="30" t="s">
        <v>445</v>
      </c>
    </row>
    <row r="242" spans="2:13">
      <c r="B242" s="19" t="s">
        <v>2</v>
      </c>
      <c r="C242" s="20" t="s">
        <v>3</v>
      </c>
      <c r="D242" s="21" t="s">
        <v>4</v>
      </c>
      <c r="E242" s="22" t="s">
        <v>5</v>
      </c>
      <c r="F242" s="22" t="s">
        <v>6</v>
      </c>
      <c r="G242" s="21" t="s">
        <v>7</v>
      </c>
      <c r="H242" s="23" t="s">
        <v>8</v>
      </c>
      <c r="I242" s="23" t="s">
        <v>9</v>
      </c>
      <c r="J242" s="21" t="s">
        <v>10</v>
      </c>
      <c r="K242" s="21" t="s">
        <v>11</v>
      </c>
      <c r="L242" s="21" t="s">
        <v>12</v>
      </c>
      <c r="M242" s="23" t="s">
        <v>13</v>
      </c>
    </row>
    <row r="243" spans="2:13">
      <c r="B243" s="24" t="s">
        <v>442</v>
      </c>
      <c r="C243" s="18" t="s">
        <v>376</v>
      </c>
      <c r="D243" s="24">
        <v>36</v>
      </c>
      <c r="E243" s="25">
        <v>0.49</v>
      </c>
      <c r="F243" s="25">
        <v>0.73399999999999999</v>
      </c>
      <c r="G243" s="24">
        <v>11</v>
      </c>
      <c r="H243" s="26">
        <v>13.5</v>
      </c>
      <c r="I243" s="26">
        <v>1.6</v>
      </c>
      <c r="J243" s="24">
        <v>89</v>
      </c>
      <c r="K243" s="24">
        <v>20</v>
      </c>
      <c r="L243" s="24">
        <v>674</v>
      </c>
      <c r="M243" s="26">
        <f>L243/D243</f>
        <v>18.722222222222221</v>
      </c>
    </row>
    <row r="244" spans="2:13">
      <c r="B244" s="27" t="s">
        <v>15</v>
      </c>
      <c r="C244" s="18" t="s">
        <v>363</v>
      </c>
      <c r="D244" s="24">
        <v>139</v>
      </c>
      <c r="E244" s="25">
        <v>0.47</v>
      </c>
      <c r="F244" s="25">
        <v>0.71699999999999997</v>
      </c>
      <c r="G244" s="24">
        <v>91</v>
      </c>
      <c r="H244" s="26">
        <v>12.3</v>
      </c>
      <c r="I244" s="26">
        <v>1.7</v>
      </c>
      <c r="J244" s="24">
        <v>358</v>
      </c>
      <c r="K244" s="24">
        <v>164</v>
      </c>
      <c r="L244" s="24">
        <v>2852</v>
      </c>
      <c r="M244" s="26">
        <f>L244/D244</f>
        <v>20.517985611510792</v>
      </c>
    </row>
    <row r="247" spans="2:13">
      <c r="B247" s="30" t="s">
        <v>446</v>
      </c>
    </row>
    <row r="248" spans="2:13">
      <c r="B248" s="19" t="s">
        <v>2</v>
      </c>
      <c r="C248" s="20" t="s">
        <v>3</v>
      </c>
      <c r="D248" s="21" t="s">
        <v>4</v>
      </c>
      <c r="E248" s="22" t="s">
        <v>5</v>
      </c>
      <c r="F248" s="22" t="s">
        <v>6</v>
      </c>
      <c r="G248" s="21" t="s">
        <v>7</v>
      </c>
      <c r="H248" s="23" t="s">
        <v>8</v>
      </c>
      <c r="I248" s="23" t="s">
        <v>9</v>
      </c>
      <c r="J248" s="21" t="s">
        <v>10</v>
      </c>
      <c r="K248" s="21" t="s">
        <v>11</v>
      </c>
      <c r="L248" s="21" t="s">
        <v>12</v>
      </c>
      <c r="M248" s="23" t="s">
        <v>13</v>
      </c>
    </row>
    <row r="249" spans="2:13">
      <c r="B249" s="24" t="s">
        <v>442</v>
      </c>
      <c r="C249" s="18" t="s">
        <v>447</v>
      </c>
      <c r="D249" s="24">
        <v>31</v>
      </c>
      <c r="E249" s="25">
        <v>0.42299999999999999</v>
      </c>
      <c r="F249" s="25">
        <v>0.83699999999999997</v>
      </c>
      <c r="G249" s="24">
        <v>78</v>
      </c>
      <c r="H249" s="26">
        <v>2.2999999999999998</v>
      </c>
      <c r="I249" s="26">
        <v>6.9</v>
      </c>
      <c r="J249" s="24">
        <v>32</v>
      </c>
      <c r="K249" s="24">
        <v>11</v>
      </c>
      <c r="L249" s="24">
        <v>607</v>
      </c>
      <c r="M249" s="26">
        <f>L249/D249</f>
        <v>19.580645161290324</v>
      </c>
    </row>
    <row r="250" spans="2:13">
      <c r="B250" s="27" t="s">
        <v>15</v>
      </c>
      <c r="C250" s="18" t="s">
        <v>374</v>
      </c>
      <c r="D250" s="24">
        <v>157</v>
      </c>
      <c r="E250" s="25">
        <v>0.40300000000000002</v>
      </c>
      <c r="F250" s="25">
        <v>0.82599999999999996</v>
      </c>
      <c r="G250" s="24">
        <v>408</v>
      </c>
      <c r="H250" s="26">
        <v>2.5</v>
      </c>
      <c r="I250" s="26">
        <v>5.5</v>
      </c>
      <c r="J250" s="24">
        <v>137</v>
      </c>
      <c r="K250" s="24">
        <v>31</v>
      </c>
      <c r="L250" s="24">
        <v>2460</v>
      </c>
      <c r="M250" s="26">
        <f>L250/D250</f>
        <v>15.668789808917197</v>
      </c>
    </row>
    <row r="252" spans="2:13">
      <c r="B252" s="30" t="s">
        <v>448</v>
      </c>
    </row>
    <row r="253" spans="2:13">
      <c r="B253" s="19" t="s">
        <v>2</v>
      </c>
      <c r="C253" s="20" t="s">
        <v>3</v>
      </c>
      <c r="D253" s="21" t="s">
        <v>4</v>
      </c>
      <c r="E253" s="22" t="s">
        <v>5</v>
      </c>
      <c r="F253" s="22" t="s">
        <v>6</v>
      </c>
      <c r="G253" s="21" t="s">
        <v>7</v>
      </c>
      <c r="H253" s="23" t="s">
        <v>8</v>
      </c>
      <c r="I253" s="23" t="s">
        <v>9</v>
      </c>
      <c r="J253" s="21" t="s">
        <v>10</v>
      </c>
      <c r="K253" s="21" t="s">
        <v>11</v>
      </c>
      <c r="L253" s="21" t="s">
        <v>12</v>
      </c>
      <c r="M253" s="23" t="s">
        <v>13</v>
      </c>
    </row>
    <row r="254" spans="2:13">
      <c r="B254" s="24" t="s">
        <v>442</v>
      </c>
      <c r="C254" s="18" t="s">
        <v>423</v>
      </c>
      <c r="D254" s="24">
        <v>35</v>
      </c>
      <c r="E254" s="25">
        <v>0.49</v>
      </c>
      <c r="F254" s="25">
        <v>0.81100000000000005</v>
      </c>
      <c r="G254" s="24">
        <v>4</v>
      </c>
      <c r="H254" s="26">
        <v>8.4</v>
      </c>
      <c r="I254" s="26">
        <v>1.8</v>
      </c>
      <c r="J254" s="24">
        <v>32</v>
      </c>
      <c r="K254" s="24">
        <v>22</v>
      </c>
      <c r="L254" s="24">
        <v>630</v>
      </c>
      <c r="M254" s="26">
        <f>L254/D254</f>
        <v>18</v>
      </c>
    </row>
    <row r="255" spans="2:13">
      <c r="B255" s="27" t="s">
        <v>15</v>
      </c>
      <c r="C255" s="18" t="s">
        <v>363</v>
      </c>
      <c r="D255" s="24">
        <v>139</v>
      </c>
      <c r="E255" s="25">
        <v>0.52500000000000002</v>
      </c>
      <c r="F255" s="25">
        <v>0.747</v>
      </c>
      <c r="G255" s="24">
        <v>6</v>
      </c>
      <c r="H255" s="26">
        <v>6.4</v>
      </c>
      <c r="I255" s="26">
        <v>1.3</v>
      </c>
      <c r="J255" s="24">
        <v>69</v>
      </c>
      <c r="K255" s="24">
        <v>63</v>
      </c>
      <c r="L255" s="24">
        <v>1701</v>
      </c>
      <c r="M255" s="26">
        <f>L255/D255</f>
        <v>12.237410071942445</v>
      </c>
    </row>
    <row r="257" spans="2:13">
      <c r="B257" s="30" t="s">
        <v>449</v>
      </c>
    </row>
    <row r="258" spans="2:13">
      <c r="B258" s="19" t="s">
        <v>2</v>
      </c>
      <c r="C258" s="20" t="s">
        <v>3</v>
      </c>
      <c r="D258" s="21" t="s">
        <v>4</v>
      </c>
      <c r="E258" s="22" t="s">
        <v>5</v>
      </c>
      <c r="F258" s="22" t="s">
        <v>6</v>
      </c>
      <c r="G258" s="21" t="s">
        <v>7</v>
      </c>
      <c r="H258" s="23" t="s">
        <v>8</v>
      </c>
      <c r="I258" s="23" t="s">
        <v>9</v>
      </c>
      <c r="J258" s="21" t="s">
        <v>10</v>
      </c>
      <c r="K258" s="21" t="s">
        <v>11</v>
      </c>
      <c r="L258" s="21" t="s">
        <v>12</v>
      </c>
      <c r="M258" s="23" t="s">
        <v>13</v>
      </c>
    </row>
    <row r="259" spans="2:13">
      <c r="B259" s="24" t="s">
        <v>442</v>
      </c>
      <c r="C259" s="18" t="s">
        <v>398</v>
      </c>
      <c r="D259" s="24">
        <v>32</v>
      </c>
      <c r="E259" s="25">
        <v>0.48399999999999999</v>
      </c>
      <c r="F259" s="25">
        <v>0.89</v>
      </c>
      <c r="G259" s="24">
        <v>51</v>
      </c>
      <c r="H259" s="26">
        <v>5.4</v>
      </c>
      <c r="I259" s="26">
        <v>2.7</v>
      </c>
      <c r="J259" s="24">
        <v>62</v>
      </c>
      <c r="K259" s="24">
        <v>29</v>
      </c>
      <c r="L259" s="24">
        <v>450</v>
      </c>
      <c r="M259" s="26">
        <f>L259/D259</f>
        <v>14.0625</v>
      </c>
    </row>
    <row r="260" spans="2:13">
      <c r="B260" s="27" t="s">
        <v>15</v>
      </c>
      <c r="C260" s="18" t="s">
        <v>363</v>
      </c>
      <c r="D260" s="24">
        <v>124</v>
      </c>
      <c r="E260" s="25">
        <v>0.46800000000000003</v>
      </c>
      <c r="F260" s="25">
        <v>0.84299999999999997</v>
      </c>
      <c r="G260" s="24">
        <v>173</v>
      </c>
      <c r="H260" s="26">
        <v>5.8</v>
      </c>
      <c r="I260" s="26">
        <v>2.5</v>
      </c>
      <c r="J260" s="24">
        <v>218</v>
      </c>
      <c r="K260" s="24">
        <v>78</v>
      </c>
      <c r="L260" s="24">
        <v>1774</v>
      </c>
      <c r="M260" s="26">
        <f>L260/D260</f>
        <v>14.306451612903226</v>
      </c>
    </row>
    <row r="263" spans="2:13">
      <c r="B263" s="30" t="s">
        <v>450</v>
      </c>
    </row>
    <row r="264" spans="2:13">
      <c r="B264" s="19" t="s">
        <v>2</v>
      </c>
      <c r="C264" s="20" t="s">
        <v>3</v>
      </c>
      <c r="D264" s="21" t="s">
        <v>4</v>
      </c>
      <c r="E264" s="22" t="s">
        <v>5</v>
      </c>
      <c r="F264" s="22" t="s">
        <v>6</v>
      </c>
      <c r="G264" s="21" t="s">
        <v>7</v>
      </c>
      <c r="H264" s="23" t="s">
        <v>8</v>
      </c>
      <c r="I264" s="23" t="s">
        <v>9</v>
      </c>
      <c r="J264" s="21" t="s">
        <v>10</v>
      </c>
      <c r="K264" s="21" t="s">
        <v>11</v>
      </c>
      <c r="L264" s="21" t="s">
        <v>12</v>
      </c>
      <c r="M264" s="23" t="s">
        <v>13</v>
      </c>
    </row>
    <row r="265" spans="2:13">
      <c r="B265" s="24" t="s">
        <v>442</v>
      </c>
      <c r="C265" s="18" t="s">
        <v>378</v>
      </c>
      <c r="D265" s="24">
        <v>38</v>
      </c>
      <c r="E265" s="25">
        <v>0.53400000000000003</v>
      </c>
      <c r="F265" s="25">
        <v>0.88900000000000001</v>
      </c>
      <c r="G265" s="24">
        <v>70</v>
      </c>
      <c r="H265" s="26">
        <v>4.4000000000000004</v>
      </c>
      <c r="I265" s="26">
        <v>4.5999999999999996</v>
      </c>
      <c r="J265" s="24">
        <v>81</v>
      </c>
      <c r="K265" s="24">
        <v>29</v>
      </c>
      <c r="L265" s="24">
        <v>756</v>
      </c>
      <c r="M265" s="26">
        <f>L265/D265</f>
        <v>19.894736842105264</v>
      </c>
    </row>
    <row r="266" spans="2:13">
      <c r="B266" s="27" t="s">
        <v>15</v>
      </c>
      <c r="C266" s="18" t="s">
        <v>363</v>
      </c>
      <c r="D266" s="24">
        <v>123</v>
      </c>
      <c r="E266" s="25">
        <v>0.53100000000000003</v>
      </c>
      <c r="F266" s="25">
        <v>0.85</v>
      </c>
      <c r="G266" s="24">
        <v>236</v>
      </c>
      <c r="H266" s="26">
        <v>4.7</v>
      </c>
      <c r="I266" s="26">
        <v>4.5999999999999996</v>
      </c>
      <c r="J266" s="24">
        <v>258</v>
      </c>
      <c r="K266" s="24">
        <v>104</v>
      </c>
      <c r="L266" s="24">
        <v>2439</v>
      </c>
      <c r="M266" s="26">
        <f>L266/D266</f>
        <v>19.829268292682926</v>
      </c>
    </row>
    <row r="268" spans="2:13">
      <c r="B268" s="30" t="s">
        <v>451</v>
      </c>
    </row>
    <row r="269" spans="2:13">
      <c r="B269" s="19" t="s">
        <v>2</v>
      </c>
      <c r="C269" s="20" t="s">
        <v>3</v>
      </c>
      <c r="D269" s="21" t="s">
        <v>4</v>
      </c>
      <c r="E269" s="22" t="s">
        <v>5</v>
      </c>
      <c r="F269" s="22" t="s">
        <v>6</v>
      </c>
      <c r="G269" s="21" t="s">
        <v>7</v>
      </c>
      <c r="H269" s="23" t="s">
        <v>8</v>
      </c>
      <c r="I269" s="23" t="s">
        <v>9</v>
      </c>
      <c r="J269" s="21" t="s">
        <v>10</v>
      </c>
      <c r="K269" s="21" t="s">
        <v>11</v>
      </c>
      <c r="L269" s="21" t="s">
        <v>12</v>
      </c>
      <c r="M269" s="23" t="s">
        <v>13</v>
      </c>
    </row>
    <row r="270" spans="2:13">
      <c r="B270" s="24" t="s">
        <v>442</v>
      </c>
      <c r="C270" s="18" t="s">
        <v>362</v>
      </c>
      <c r="D270" s="24">
        <v>39</v>
      </c>
      <c r="E270" s="25">
        <v>0.44400000000000001</v>
      </c>
      <c r="F270" s="25">
        <v>0.73699999999999999</v>
      </c>
      <c r="G270" s="24">
        <v>60</v>
      </c>
      <c r="H270" s="26">
        <v>2.7</v>
      </c>
      <c r="I270" s="26">
        <v>2.8</v>
      </c>
      <c r="J270" s="24">
        <v>42</v>
      </c>
      <c r="K270" s="24">
        <v>13</v>
      </c>
      <c r="L270" s="24">
        <v>368</v>
      </c>
      <c r="M270" s="26">
        <f>L270/D270</f>
        <v>9.4358974358974361</v>
      </c>
    </row>
    <row r="271" spans="2:13">
      <c r="B271" s="27" t="s">
        <v>15</v>
      </c>
      <c r="C271" s="18" t="s">
        <v>374</v>
      </c>
      <c r="D271" s="24">
        <v>153</v>
      </c>
      <c r="E271" s="25">
        <v>0.434</v>
      </c>
      <c r="F271" s="25">
        <v>0.83599999999999997</v>
      </c>
      <c r="G271" s="24">
        <v>294</v>
      </c>
      <c r="H271" s="26">
        <v>3.3</v>
      </c>
      <c r="I271" s="26">
        <v>3.4</v>
      </c>
      <c r="J271" s="24">
        <v>169</v>
      </c>
      <c r="K271" s="24">
        <v>39</v>
      </c>
      <c r="L271" s="24">
        <v>1738</v>
      </c>
      <c r="M271" s="26">
        <f>L271/D271</f>
        <v>11.359477124183007</v>
      </c>
    </row>
    <row r="273" spans="2:13">
      <c r="B273" s="30" t="s">
        <v>452</v>
      </c>
    </row>
    <row r="274" spans="2:13">
      <c r="B274" s="19" t="s">
        <v>2</v>
      </c>
      <c r="C274" s="20" t="s">
        <v>3</v>
      </c>
      <c r="D274" s="21" t="s">
        <v>4</v>
      </c>
      <c r="E274" s="22" t="s">
        <v>5</v>
      </c>
      <c r="F274" s="22" t="s">
        <v>6</v>
      </c>
      <c r="G274" s="21" t="s">
        <v>7</v>
      </c>
      <c r="H274" s="23" t="s">
        <v>8</v>
      </c>
      <c r="I274" s="23" t="s">
        <v>9</v>
      </c>
      <c r="J274" s="21" t="s">
        <v>10</v>
      </c>
      <c r="K274" s="21" t="s">
        <v>11</v>
      </c>
      <c r="L274" s="21" t="s">
        <v>12</v>
      </c>
      <c r="M274" s="23" t="s">
        <v>13</v>
      </c>
    </row>
    <row r="275" spans="2:13">
      <c r="B275" s="24" t="s">
        <v>442</v>
      </c>
      <c r="C275" s="18" t="s">
        <v>358</v>
      </c>
      <c r="D275" s="24">
        <v>35</v>
      </c>
      <c r="E275" s="25">
        <v>0.44500000000000001</v>
      </c>
      <c r="F275" s="25">
        <v>0.75</v>
      </c>
      <c r="G275" s="24">
        <v>76</v>
      </c>
      <c r="H275" s="26">
        <v>4.9000000000000004</v>
      </c>
      <c r="I275" s="26">
        <v>2.6</v>
      </c>
      <c r="J275" s="24">
        <v>40</v>
      </c>
      <c r="K275" s="24">
        <v>11</v>
      </c>
      <c r="L275" s="24">
        <v>627</v>
      </c>
      <c r="M275" s="26">
        <f>L275/D275</f>
        <v>17.914285714285715</v>
      </c>
    </row>
    <row r="276" spans="2:13">
      <c r="B276" s="27" t="s">
        <v>15</v>
      </c>
      <c r="C276" s="18" t="s">
        <v>363</v>
      </c>
      <c r="D276" s="24">
        <v>130</v>
      </c>
      <c r="E276" s="25">
        <v>0.42599999999999999</v>
      </c>
      <c r="F276" s="25">
        <v>0.72</v>
      </c>
      <c r="G276" s="24">
        <v>184</v>
      </c>
      <c r="H276" s="26">
        <v>3.7</v>
      </c>
      <c r="I276" s="26">
        <v>2.2000000000000002</v>
      </c>
      <c r="J276" s="24">
        <v>132</v>
      </c>
      <c r="K276" s="24">
        <v>31</v>
      </c>
      <c r="L276" s="24">
        <v>1589</v>
      </c>
      <c r="M276" s="26">
        <f>L276/D276</f>
        <v>12.223076923076922</v>
      </c>
    </row>
    <row r="278" spans="2:13">
      <c r="B278" s="30" t="s">
        <v>453</v>
      </c>
    </row>
    <row r="279" spans="2:13">
      <c r="B279" s="19" t="s">
        <v>2</v>
      </c>
      <c r="C279" s="20" t="s">
        <v>3</v>
      </c>
      <c r="D279" s="21" t="s">
        <v>4</v>
      </c>
      <c r="E279" s="22" t="s">
        <v>5</v>
      </c>
      <c r="F279" s="22" t="s">
        <v>6</v>
      </c>
      <c r="G279" s="21" t="s">
        <v>7</v>
      </c>
      <c r="H279" s="23" t="s">
        <v>8</v>
      </c>
      <c r="I279" s="23" t="s">
        <v>9</v>
      </c>
      <c r="J279" s="21" t="s">
        <v>10</v>
      </c>
      <c r="K279" s="21" t="s">
        <v>11</v>
      </c>
      <c r="L279" s="21" t="s">
        <v>12</v>
      </c>
      <c r="M279" s="23" t="s">
        <v>13</v>
      </c>
    </row>
    <row r="280" spans="2:13">
      <c r="B280" s="24" t="s">
        <v>442</v>
      </c>
      <c r="C280" s="18" t="s">
        <v>418</v>
      </c>
      <c r="D280" s="24">
        <v>32</v>
      </c>
      <c r="E280" s="25">
        <v>0.436</v>
      </c>
      <c r="F280" s="25">
        <v>0.74399999999999999</v>
      </c>
      <c r="G280" s="24">
        <v>54</v>
      </c>
      <c r="H280" s="26">
        <v>3.6</v>
      </c>
      <c r="I280" s="26">
        <v>5.0999999999999996</v>
      </c>
      <c r="J280" s="24">
        <v>40</v>
      </c>
      <c r="K280" s="24">
        <v>11</v>
      </c>
      <c r="L280" s="24">
        <v>573</v>
      </c>
      <c r="M280" s="26">
        <f>L280/D280</f>
        <v>17.90625</v>
      </c>
    </row>
    <row r="281" spans="2:13">
      <c r="B281" s="27" t="s">
        <v>15</v>
      </c>
      <c r="C281" s="18" t="s">
        <v>363</v>
      </c>
      <c r="D281" s="24">
        <v>137</v>
      </c>
      <c r="E281" s="25">
        <v>0.42299999999999999</v>
      </c>
      <c r="F281" s="25">
        <v>0.75900000000000001</v>
      </c>
      <c r="G281" s="24">
        <v>188</v>
      </c>
      <c r="H281" s="26">
        <v>3.8</v>
      </c>
      <c r="I281" s="26">
        <v>4</v>
      </c>
      <c r="J281" s="24">
        <v>190</v>
      </c>
      <c r="K281" s="24">
        <v>56</v>
      </c>
      <c r="L281" s="24">
        <v>2077</v>
      </c>
      <c r="M281" s="26">
        <f>L281/D281</f>
        <v>15.160583941605839</v>
      </c>
    </row>
    <row r="283" spans="2:13">
      <c r="B283" s="30" t="s">
        <v>454</v>
      </c>
    </row>
    <row r="284" spans="2:13">
      <c r="B284" s="19" t="s">
        <v>2</v>
      </c>
      <c r="C284" s="20" t="s">
        <v>3</v>
      </c>
      <c r="D284" s="21" t="s">
        <v>4</v>
      </c>
      <c r="E284" s="22" t="s">
        <v>5</v>
      </c>
      <c r="F284" s="22" t="s">
        <v>6</v>
      </c>
      <c r="G284" s="21" t="s">
        <v>7</v>
      </c>
      <c r="H284" s="23" t="s">
        <v>8</v>
      </c>
      <c r="I284" s="23" t="s">
        <v>9</v>
      </c>
      <c r="J284" s="21" t="s">
        <v>10</v>
      </c>
      <c r="K284" s="21" t="s">
        <v>11</v>
      </c>
      <c r="L284" s="21" t="s">
        <v>12</v>
      </c>
      <c r="M284" s="23" t="s">
        <v>13</v>
      </c>
    </row>
    <row r="285" spans="2:13">
      <c r="B285" s="24" t="s">
        <v>442</v>
      </c>
      <c r="C285" s="18" t="s">
        <v>398</v>
      </c>
      <c r="D285" s="24">
        <v>21</v>
      </c>
      <c r="E285" s="25">
        <v>0.47199999999999998</v>
      </c>
      <c r="F285" s="25">
        <v>0.76900000000000002</v>
      </c>
      <c r="G285" s="24">
        <v>16</v>
      </c>
      <c r="H285" s="26">
        <v>2.8</v>
      </c>
      <c r="I285" s="26">
        <v>0.9</v>
      </c>
      <c r="J285" s="24">
        <v>21</v>
      </c>
      <c r="K285" s="24">
        <v>21</v>
      </c>
      <c r="L285" s="24">
        <v>160</v>
      </c>
      <c r="M285" s="26">
        <f>L285/D285</f>
        <v>7.6190476190476186</v>
      </c>
    </row>
    <row r="286" spans="2:13">
      <c r="B286" s="27" t="s">
        <v>15</v>
      </c>
      <c r="C286" s="18" t="s">
        <v>374</v>
      </c>
      <c r="D286" s="24">
        <v>141</v>
      </c>
      <c r="E286" s="25">
        <v>0.46500000000000002</v>
      </c>
      <c r="F286" s="25">
        <v>0.73499999999999999</v>
      </c>
      <c r="G286" s="24">
        <v>128</v>
      </c>
      <c r="H286" s="26">
        <v>6.7</v>
      </c>
      <c r="I286" s="26">
        <v>1.8</v>
      </c>
      <c r="J286" s="24">
        <v>183</v>
      </c>
      <c r="K286" s="24">
        <v>145</v>
      </c>
      <c r="L286" s="24">
        <v>1710</v>
      </c>
      <c r="M286" s="26">
        <f>L286/D286</f>
        <v>12.127659574468085</v>
      </c>
    </row>
    <row r="288" spans="2:13">
      <c r="B288" s="30" t="s">
        <v>455</v>
      </c>
    </row>
    <row r="289" spans="2:13">
      <c r="B289" s="19" t="s">
        <v>2</v>
      </c>
      <c r="C289" s="20" t="s">
        <v>3</v>
      </c>
      <c r="D289" s="21" t="s">
        <v>4</v>
      </c>
      <c r="E289" s="22" t="s">
        <v>5</v>
      </c>
      <c r="F289" s="22" t="s">
        <v>6</v>
      </c>
      <c r="G289" s="21" t="s">
        <v>7</v>
      </c>
      <c r="H289" s="23" t="s">
        <v>8</v>
      </c>
      <c r="I289" s="23" t="s">
        <v>9</v>
      </c>
      <c r="J289" s="21" t="s">
        <v>10</v>
      </c>
      <c r="K289" s="21" t="s">
        <v>11</v>
      </c>
      <c r="L289" s="21" t="s">
        <v>12</v>
      </c>
      <c r="M289" s="23" t="s">
        <v>13</v>
      </c>
    </row>
    <row r="290" spans="2:13">
      <c r="B290" s="24" t="s">
        <v>442</v>
      </c>
      <c r="C290" s="18" t="s">
        <v>434</v>
      </c>
      <c r="D290" s="24">
        <v>33</v>
      </c>
      <c r="E290" s="25">
        <v>0.45400000000000001</v>
      </c>
      <c r="F290" s="25">
        <v>0.83</v>
      </c>
      <c r="G290" s="24">
        <v>111</v>
      </c>
      <c r="H290" s="26">
        <v>2.2999999999999998</v>
      </c>
      <c r="I290" s="26">
        <v>1.4</v>
      </c>
      <c r="J290" s="24">
        <v>36</v>
      </c>
      <c r="K290" s="24">
        <v>9</v>
      </c>
      <c r="L290" s="24">
        <v>501</v>
      </c>
      <c r="M290" s="26">
        <f>L290/D290</f>
        <v>15.181818181818182</v>
      </c>
    </row>
    <row r="291" spans="2:13">
      <c r="B291" s="27" t="s">
        <v>15</v>
      </c>
      <c r="C291" s="18" t="s">
        <v>374</v>
      </c>
      <c r="D291" s="24">
        <v>142</v>
      </c>
      <c r="E291" s="25">
        <v>0.43</v>
      </c>
      <c r="F291" s="25">
        <v>0.71799999999999997</v>
      </c>
      <c r="G291" s="24">
        <v>389</v>
      </c>
      <c r="H291" s="26">
        <v>2.5</v>
      </c>
      <c r="I291" s="26">
        <v>1.1000000000000001</v>
      </c>
      <c r="J291" s="24">
        <v>170</v>
      </c>
      <c r="K291" s="24">
        <v>48</v>
      </c>
      <c r="L291" s="24">
        <v>1739</v>
      </c>
      <c r="M291" s="26">
        <f>L291/D291</f>
        <v>12.246478873239436</v>
      </c>
    </row>
    <row r="293" spans="2:13">
      <c r="B293" s="30" t="s">
        <v>456</v>
      </c>
    </row>
    <row r="294" spans="2:13">
      <c r="B294" s="19" t="s">
        <v>2</v>
      </c>
      <c r="C294" s="20" t="s">
        <v>3</v>
      </c>
      <c r="D294" s="21" t="s">
        <v>4</v>
      </c>
      <c r="E294" s="22" t="s">
        <v>5</v>
      </c>
      <c r="F294" s="22" t="s">
        <v>6</v>
      </c>
      <c r="G294" s="21" t="s">
        <v>7</v>
      </c>
      <c r="H294" s="23" t="s">
        <v>8</v>
      </c>
      <c r="I294" s="23" t="s">
        <v>9</v>
      </c>
      <c r="J294" s="21" t="s">
        <v>10</v>
      </c>
      <c r="K294" s="21" t="s">
        <v>11</v>
      </c>
      <c r="L294" s="21" t="s">
        <v>12</v>
      </c>
      <c r="M294" s="23" t="s">
        <v>13</v>
      </c>
    </row>
    <row r="295" spans="2:13">
      <c r="B295" s="24" t="s">
        <v>442</v>
      </c>
      <c r="C295" s="18" t="s">
        <v>378</v>
      </c>
      <c r="D295" s="24">
        <v>40</v>
      </c>
      <c r="E295" s="25">
        <v>0.51400000000000001</v>
      </c>
      <c r="F295" s="25">
        <v>0.84199999999999997</v>
      </c>
      <c r="G295" s="24">
        <v>29</v>
      </c>
      <c r="H295" s="26">
        <v>1.8</v>
      </c>
      <c r="I295" s="26">
        <v>3.4</v>
      </c>
      <c r="J295" s="24">
        <v>46</v>
      </c>
      <c r="K295" s="24">
        <v>1</v>
      </c>
      <c r="L295" s="24">
        <v>277</v>
      </c>
      <c r="M295" s="26">
        <f>L295/D295</f>
        <v>6.9249999999999998</v>
      </c>
    </row>
    <row r="296" spans="2:13">
      <c r="B296" s="27" t="s">
        <v>15</v>
      </c>
      <c r="C296" s="18" t="s">
        <v>363</v>
      </c>
      <c r="D296" s="24">
        <v>130</v>
      </c>
      <c r="E296" s="25">
        <v>0.47299999999999998</v>
      </c>
      <c r="F296" s="25">
        <v>0.77200000000000002</v>
      </c>
      <c r="G296" s="24">
        <v>80</v>
      </c>
      <c r="H296" s="26">
        <v>3</v>
      </c>
      <c r="I296" s="26">
        <v>3.8</v>
      </c>
      <c r="J296" s="24">
        <v>145</v>
      </c>
      <c r="K296" s="24">
        <v>17</v>
      </c>
      <c r="L296" s="24">
        <v>1553</v>
      </c>
      <c r="M296" s="26">
        <f>L296/D296</f>
        <v>11.946153846153846</v>
      </c>
    </row>
    <row r="298" spans="2:13">
      <c r="B298" s="30" t="s">
        <v>457</v>
      </c>
    </row>
    <row r="299" spans="2:13">
      <c r="B299" s="19" t="s">
        <v>2</v>
      </c>
      <c r="C299" s="20" t="s">
        <v>3</v>
      </c>
      <c r="D299" s="21" t="s">
        <v>4</v>
      </c>
      <c r="E299" s="22" t="s">
        <v>5</v>
      </c>
      <c r="F299" s="22" t="s">
        <v>6</v>
      </c>
      <c r="G299" s="21" t="s">
        <v>7</v>
      </c>
      <c r="H299" s="23" t="s">
        <v>8</v>
      </c>
      <c r="I299" s="23" t="s">
        <v>9</v>
      </c>
      <c r="J299" s="21" t="s">
        <v>10</v>
      </c>
      <c r="K299" s="21" t="s">
        <v>11</v>
      </c>
      <c r="L299" s="21" t="s">
        <v>12</v>
      </c>
      <c r="M299" s="23" t="s">
        <v>13</v>
      </c>
    </row>
    <row r="300" spans="2:13">
      <c r="B300" s="24" t="s">
        <v>442</v>
      </c>
      <c r="C300" s="18" t="s">
        <v>458</v>
      </c>
      <c r="D300" s="24">
        <v>33</v>
      </c>
      <c r="E300" s="25">
        <v>0.46600000000000003</v>
      </c>
      <c r="F300" s="25">
        <v>0.73699999999999999</v>
      </c>
      <c r="G300" s="24">
        <v>4</v>
      </c>
      <c r="H300" s="26">
        <v>5.0999999999999996</v>
      </c>
      <c r="I300" s="26">
        <v>3.7</v>
      </c>
      <c r="J300" s="24">
        <v>32</v>
      </c>
      <c r="K300" s="24">
        <v>30</v>
      </c>
      <c r="L300" s="24">
        <v>391</v>
      </c>
      <c r="M300" s="26">
        <f>L300/D300</f>
        <v>11.848484848484848</v>
      </c>
    </row>
    <row r="301" spans="2:13">
      <c r="B301" s="27" t="s">
        <v>15</v>
      </c>
      <c r="C301" s="18" t="s">
        <v>374</v>
      </c>
      <c r="D301" s="24">
        <v>155</v>
      </c>
      <c r="E301" s="25">
        <v>0.49299999999999999</v>
      </c>
      <c r="F301" s="25">
        <v>0.68700000000000006</v>
      </c>
      <c r="G301" s="24">
        <v>6</v>
      </c>
      <c r="H301" s="26">
        <v>6.7</v>
      </c>
      <c r="I301" s="26">
        <v>2.4</v>
      </c>
      <c r="J301" s="24">
        <v>158</v>
      </c>
      <c r="K301" s="24">
        <v>133</v>
      </c>
      <c r="L301" s="24">
        <v>1728</v>
      </c>
      <c r="M301" s="26">
        <f>L301/D301</f>
        <v>11.148387096774194</v>
      </c>
    </row>
    <row r="303" spans="2:13">
      <c r="B303" s="30" t="s">
        <v>459</v>
      </c>
    </row>
    <row r="304" spans="2:13">
      <c r="B304" s="19" t="s">
        <v>2</v>
      </c>
      <c r="C304" s="20" t="s">
        <v>3</v>
      </c>
      <c r="D304" s="21" t="s">
        <v>4</v>
      </c>
      <c r="E304" s="22" t="s">
        <v>5</v>
      </c>
      <c r="F304" s="22" t="s">
        <v>6</v>
      </c>
      <c r="G304" s="21" t="s">
        <v>7</v>
      </c>
      <c r="H304" s="23" t="s">
        <v>8</v>
      </c>
      <c r="I304" s="23" t="s">
        <v>9</v>
      </c>
      <c r="J304" s="21" t="s">
        <v>10</v>
      </c>
      <c r="K304" s="21" t="s">
        <v>11</v>
      </c>
      <c r="L304" s="21" t="s">
        <v>12</v>
      </c>
      <c r="M304" s="23" t="s">
        <v>13</v>
      </c>
    </row>
    <row r="305" spans="2:13">
      <c r="B305" s="24" t="s">
        <v>442</v>
      </c>
      <c r="C305" s="18" t="s">
        <v>460</v>
      </c>
      <c r="D305" s="24">
        <v>33</v>
      </c>
      <c r="E305" s="25">
        <v>0.54300000000000004</v>
      </c>
      <c r="F305" s="25">
        <v>0.76</v>
      </c>
      <c r="G305" s="24">
        <v>2</v>
      </c>
      <c r="H305" s="26">
        <v>10.6</v>
      </c>
      <c r="I305" s="26">
        <v>1</v>
      </c>
      <c r="J305" s="24">
        <v>58</v>
      </c>
      <c r="K305" s="24">
        <v>103</v>
      </c>
      <c r="L305" s="24">
        <v>577</v>
      </c>
      <c r="M305" s="26">
        <f>L305/D305</f>
        <v>17.484848484848484</v>
      </c>
    </row>
    <row r="306" spans="2:13">
      <c r="B306" s="27" t="s">
        <v>15</v>
      </c>
      <c r="C306" s="18" t="s">
        <v>363</v>
      </c>
      <c r="D306" s="24">
        <v>131</v>
      </c>
      <c r="E306" s="25">
        <v>0.56799999999999995</v>
      </c>
      <c r="F306" s="25">
        <v>0.71199999999999997</v>
      </c>
      <c r="G306" s="24">
        <v>3</v>
      </c>
      <c r="H306" s="26">
        <v>8.4</v>
      </c>
      <c r="I306" s="26">
        <v>0.6</v>
      </c>
      <c r="J306" s="24">
        <v>159</v>
      </c>
      <c r="K306" s="24">
        <v>290</v>
      </c>
      <c r="L306" s="24">
        <v>1706</v>
      </c>
      <c r="M306" s="26">
        <f>L306/D306</f>
        <v>13.022900763358779</v>
      </c>
    </row>
    <row r="308" spans="2:13">
      <c r="B308" s="30" t="s">
        <v>461</v>
      </c>
    </row>
    <row r="309" spans="2:13">
      <c r="B309" s="19" t="s">
        <v>2</v>
      </c>
      <c r="C309" s="20" t="s">
        <v>3</v>
      </c>
      <c r="D309" s="21" t="s">
        <v>4</v>
      </c>
      <c r="E309" s="22" t="s">
        <v>5</v>
      </c>
      <c r="F309" s="22" t="s">
        <v>6</v>
      </c>
      <c r="G309" s="21" t="s">
        <v>7</v>
      </c>
      <c r="H309" s="23" t="s">
        <v>8</v>
      </c>
      <c r="I309" s="23" t="s">
        <v>9</v>
      </c>
      <c r="J309" s="21" t="s">
        <v>10</v>
      </c>
      <c r="K309" s="21" t="s">
        <v>11</v>
      </c>
      <c r="L309" s="21" t="s">
        <v>12</v>
      </c>
      <c r="M309" s="23" t="s">
        <v>13</v>
      </c>
    </row>
    <row r="310" spans="2:13">
      <c r="B310" s="24" t="s">
        <v>442</v>
      </c>
      <c r="C310" s="18" t="s">
        <v>423</v>
      </c>
      <c r="D310" s="24">
        <v>33</v>
      </c>
      <c r="E310" s="25">
        <v>0.48</v>
      </c>
      <c r="F310" s="25">
        <v>0.754</v>
      </c>
      <c r="G310" s="24">
        <v>3</v>
      </c>
      <c r="H310" s="26">
        <v>8.4</v>
      </c>
      <c r="I310" s="26">
        <v>2.4</v>
      </c>
      <c r="J310" s="24">
        <v>38</v>
      </c>
      <c r="K310" s="24">
        <v>70</v>
      </c>
      <c r="L310" s="24">
        <v>262</v>
      </c>
      <c r="M310" s="26">
        <f>L310/D310</f>
        <v>7.9393939393939394</v>
      </c>
    </row>
    <row r="311" spans="2:13">
      <c r="B311" s="27" t="s">
        <v>15</v>
      </c>
      <c r="C311" s="18" t="s">
        <v>363</v>
      </c>
      <c r="D311" s="24">
        <v>121</v>
      </c>
      <c r="E311" s="25">
        <v>0.42499999999999999</v>
      </c>
      <c r="F311" s="25">
        <v>0.68700000000000006</v>
      </c>
      <c r="G311" s="24">
        <v>11</v>
      </c>
      <c r="H311" s="26">
        <v>9.5</v>
      </c>
      <c r="I311" s="26">
        <v>1.6</v>
      </c>
      <c r="J311" s="24">
        <v>154</v>
      </c>
      <c r="K311" s="24">
        <v>304</v>
      </c>
      <c r="L311" s="24">
        <v>1258</v>
      </c>
      <c r="M311" s="26">
        <f>L311/D311</f>
        <v>10.396694214876034</v>
      </c>
    </row>
    <row r="313" spans="2:13">
      <c r="B313" s="30" t="s">
        <v>462</v>
      </c>
    </row>
    <row r="314" spans="2:13">
      <c r="B314" s="19" t="s">
        <v>2</v>
      </c>
      <c r="C314" s="20" t="s">
        <v>3</v>
      </c>
      <c r="D314" s="21" t="s">
        <v>4</v>
      </c>
      <c r="E314" s="22" t="s">
        <v>5</v>
      </c>
      <c r="F314" s="22" t="s">
        <v>6</v>
      </c>
      <c r="G314" s="21" t="s">
        <v>7</v>
      </c>
      <c r="H314" s="23" t="s">
        <v>8</v>
      </c>
      <c r="I314" s="23" t="s">
        <v>9</v>
      </c>
      <c r="J314" s="21" t="s">
        <v>10</v>
      </c>
      <c r="K314" s="21" t="s">
        <v>11</v>
      </c>
      <c r="L314" s="21" t="s">
        <v>12</v>
      </c>
      <c r="M314" s="23" t="s">
        <v>13</v>
      </c>
    </row>
    <row r="315" spans="2:13">
      <c r="B315" s="24" t="s">
        <v>442</v>
      </c>
      <c r="C315" s="18" t="s">
        <v>463</v>
      </c>
      <c r="D315" s="24">
        <v>32</v>
      </c>
      <c r="E315" s="25">
        <v>0.443</v>
      </c>
      <c r="F315" s="25">
        <v>0.82899999999999996</v>
      </c>
      <c r="G315" s="24">
        <v>50</v>
      </c>
      <c r="H315" s="26">
        <v>3.1</v>
      </c>
      <c r="I315" s="26">
        <v>3.2</v>
      </c>
      <c r="J315" s="24">
        <v>97</v>
      </c>
      <c r="K315" s="24">
        <v>9</v>
      </c>
      <c r="L315" s="24">
        <v>652</v>
      </c>
      <c r="M315" s="26">
        <f>L315/D315</f>
        <v>20.375</v>
      </c>
    </row>
    <row r="316" spans="2:13">
      <c r="B316" s="27" t="s">
        <v>15</v>
      </c>
      <c r="C316" s="18" t="s">
        <v>363</v>
      </c>
      <c r="D316" s="24">
        <v>126</v>
      </c>
      <c r="E316" s="25">
        <v>0.439</v>
      </c>
      <c r="F316" s="25">
        <v>0.77100000000000002</v>
      </c>
      <c r="G316" s="24">
        <v>157</v>
      </c>
      <c r="H316" s="26">
        <v>3.3</v>
      </c>
      <c r="I316" s="26">
        <v>2.7</v>
      </c>
      <c r="J316" s="24">
        <v>328</v>
      </c>
      <c r="K316" s="24">
        <v>37</v>
      </c>
      <c r="L316" s="24">
        <v>2016</v>
      </c>
      <c r="M316" s="26">
        <f>L316/D316</f>
        <v>16</v>
      </c>
    </row>
    <row r="318" spans="2:13">
      <c r="B318" s="30" t="s">
        <v>464</v>
      </c>
    </row>
    <row r="319" spans="2:13">
      <c r="B319" s="19" t="s">
        <v>2</v>
      </c>
      <c r="C319" s="20" t="s">
        <v>3</v>
      </c>
      <c r="D319" s="21" t="s">
        <v>4</v>
      </c>
      <c r="E319" s="22" t="s">
        <v>5</v>
      </c>
      <c r="F319" s="22" t="s">
        <v>6</v>
      </c>
      <c r="G319" s="21" t="s">
        <v>7</v>
      </c>
      <c r="H319" s="23" t="s">
        <v>8</v>
      </c>
      <c r="I319" s="23" t="s">
        <v>9</v>
      </c>
      <c r="J319" s="21" t="s">
        <v>10</v>
      </c>
      <c r="K319" s="21" t="s">
        <v>11</v>
      </c>
      <c r="L319" s="21" t="s">
        <v>12</v>
      </c>
      <c r="M319" s="23" t="s">
        <v>13</v>
      </c>
    </row>
    <row r="320" spans="2:13">
      <c r="B320" s="24" t="s">
        <v>442</v>
      </c>
      <c r="C320" s="18" t="s">
        <v>398</v>
      </c>
      <c r="D320" s="24">
        <v>33</v>
      </c>
      <c r="E320" s="25">
        <v>0.56299999999999994</v>
      </c>
      <c r="F320" s="25">
        <v>0.5</v>
      </c>
      <c r="G320" s="24">
        <v>0</v>
      </c>
      <c r="H320" s="26">
        <v>10.4</v>
      </c>
      <c r="I320" s="26">
        <v>1.6</v>
      </c>
      <c r="J320" s="24">
        <v>65</v>
      </c>
      <c r="K320" s="24">
        <v>29</v>
      </c>
      <c r="L320" s="24">
        <v>381</v>
      </c>
      <c r="M320" s="26">
        <f>L320/D320</f>
        <v>11.545454545454545</v>
      </c>
    </row>
    <row r="321" spans="2:13">
      <c r="B321" s="27" t="s">
        <v>15</v>
      </c>
      <c r="C321" s="18" t="s">
        <v>374</v>
      </c>
      <c r="D321" s="24">
        <v>140</v>
      </c>
      <c r="E321" s="25">
        <v>0.49099999999999999</v>
      </c>
      <c r="F321" s="25">
        <v>0.63700000000000001</v>
      </c>
      <c r="G321" s="24">
        <v>0</v>
      </c>
      <c r="H321" s="26">
        <v>8.4</v>
      </c>
      <c r="I321" s="26">
        <v>1.3</v>
      </c>
      <c r="J321" s="24">
        <v>180</v>
      </c>
      <c r="K321" s="24">
        <v>146</v>
      </c>
      <c r="L321" s="24">
        <v>1549</v>
      </c>
      <c r="M321" s="26">
        <f>L321/D321</f>
        <v>11.064285714285715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3194-EB85-40C8-ACD8-8BAC2627181B}">
  <dimension ref="A1:C9"/>
  <sheetViews>
    <sheetView workbookViewId="0">
      <selection activeCell="A4" sqref="A4"/>
    </sheetView>
  </sheetViews>
  <sheetFormatPr defaultRowHeight="15"/>
  <cols>
    <col min="1" max="3" width="25.42578125" customWidth="1"/>
  </cols>
  <sheetData>
    <row r="1" spans="1:3" ht="15" customHeight="1">
      <c r="A1" s="36" t="s">
        <v>465</v>
      </c>
      <c r="B1" s="36" t="s">
        <v>466</v>
      </c>
      <c r="C1" s="36" t="s">
        <v>467</v>
      </c>
    </row>
    <row r="2" spans="1:3" ht="15" customHeight="1">
      <c r="A2" s="35" t="s">
        <v>19</v>
      </c>
      <c r="B2" t="s">
        <v>468</v>
      </c>
      <c r="C2" t="s">
        <v>469</v>
      </c>
    </row>
    <row r="3" spans="1:3" ht="15" customHeight="1">
      <c r="A3" t="s">
        <v>43</v>
      </c>
      <c r="B3" t="s">
        <v>470</v>
      </c>
      <c r="C3" t="s">
        <v>471</v>
      </c>
    </row>
    <row r="4" spans="1:3" ht="15" customHeight="1">
      <c r="A4" s="30" t="s">
        <v>100</v>
      </c>
      <c r="B4" t="s">
        <v>472</v>
      </c>
      <c r="C4" t="s">
        <v>473</v>
      </c>
    </row>
    <row r="5" spans="1:3" ht="15" customHeight="1" thickBot="1">
      <c r="A5" s="30" t="s">
        <v>296</v>
      </c>
      <c r="B5" t="s">
        <v>473</v>
      </c>
      <c r="C5" t="s">
        <v>474</v>
      </c>
    </row>
    <row r="6" spans="1:3" ht="15" customHeight="1" thickBot="1">
      <c r="A6" s="37" t="s">
        <v>341</v>
      </c>
      <c r="B6" t="s">
        <v>470</v>
      </c>
      <c r="C6" t="s">
        <v>475</v>
      </c>
    </row>
    <row r="7" spans="1:3" ht="15" customHeight="1">
      <c r="A7" s="30" t="s">
        <v>335</v>
      </c>
      <c r="B7" t="s">
        <v>470</v>
      </c>
      <c r="C7" t="s">
        <v>476</v>
      </c>
    </row>
    <row r="8" spans="1:3" ht="15" customHeight="1">
      <c r="A8" s="30" t="s">
        <v>334</v>
      </c>
      <c r="B8" t="s">
        <v>475</v>
      </c>
      <c r="C8" t="s">
        <v>476</v>
      </c>
    </row>
    <row r="9" spans="1:3" ht="15" customHeight="1"/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 Regan</dc:creator>
  <cp:keywords/>
  <dc:description/>
  <cp:lastModifiedBy/>
  <cp:revision/>
  <dcterms:created xsi:type="dcterms:W3CDTF">2018-12-12T17:24:42Z</dcterms:created>
  <dcterms:modified xsi:type="dcterms:W3CDTF">2025-07-01T07:13:44Z</dcterms:modified>
  <cp:category/>
  <cp:contentStatus/>
</cp:coreProperties>
</file>